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BS\"/>
    </mc:Choice>
  </mc:AlternateContent>
  <bookViews>
    <workbookView xWindow="0" yWindow="0" windowWidth="28800" windowHeight="12300" activeTab="1"/>
  </bookViews>
  <sheets>
    <sheet name="Data" sheetId="14" r:id="rId1"/>
    <sheet name="BuHu" sheetId="16" r:id="rId2"/>
    <sheet name="Jira" sheetId="17" r:id="rId3"/>
  </sheets>
  <calcPr calcId="162913"/>
</workbook>
</file>

<file path=xl/calcChain.xml><?xml version="1.0" encoding="utf-8"?>
<calcChain xmlns="http://schemas.openxmlformats.org/spreadsheetml/2006/main">
  <c r="E20" i="16" l="1"/>
  <c r="F20" i="16"/>
  <c r="G20" i="16"/>
  <c r="H20" i="16"/>
  <c r="I20" i="16"/>
  <c r="D20" i="16"/>
  <c r="E19" i="16"/>
  <c r="F19" i="16"/>
  <c r="G19" i="16"/>
  <c r="H19" i="16"/>
  <c r="I19" i="16"/>
  <c r="D19" i="16"/>
  <c r="D14" i="16"/>
  <c r="L74" i="16" s="1"/>
  <c r="D13" i="16"/>
  <c r="E11" i="16"/>
  <c r="F11" i="16"/>
  <c r="G11" i="16"/>
  <c r="H11" i="16"/>
  <c r="I11" i="16"/>
  <c r="D11" i="16"/>
  <c r="D8" i="16"/>
  <c r="D7" i="16"/>
  <c r="E14" i="16"/>
  <c r="M74" i="16" s="1"/>
  <c r="F14" i="16"/>
  <c r="G14" i="16"/>
  <c r="H14" i="16"/>
  <c r="I14" i="16"/>
  <c r="Q74" i="16" s="1"/>
  <c r="K9" i="14"/>
  <c r="I9" i="14"/>
  <c r="G9" i="14"/>
  <c r="G8" i="14"/>
  <c r="H8" i="14"/>
  <c r="I8" i="14"/>
  <c r="J8" i="14"/>
  <c r="K8" i="14"/>
  <c r="F8" i="14"/>
  <c r="M3" i="16"/>
  <c r="N3" i="16"/>
  <c r="O3" i="16"/>
  <c r="P3" i="16"/>
  <c r="Q3" i="16"/>
  <c r="L3" i="16"/>
  <c r="N74" i="16"/>
  <c r="O74" i="16"/>
  <c r="P74" i="16"/>
  <c r="M73" i="16"/>
  <c r="N73" i="16"/>
  <c r="O73" i="16"/>
  <c r="P73" i="16"/>
  <c r="Q73" i="16"/>
  <c r="L73" i="16"/>
  <c r="M21" i="16"/>
  <c r="N21" i="16"/>
  <c r="O21" i="16"/>
  <c r="P21" i="16"/>
  <c r="Q21" i="16"/>
  <c r="L21" i="16"/>
  <c r="E8" i="16" l="1"/>
  <c r="M56" i="16" s="1"/>
  <c r="F8" i="16"/>
  <c r="N56" i="16" s="1"/>
  <c r="G8" i="16"/>
  <c r="O56" i="16" s="1"/>
  <c r="H8" i="16"/>
  <c r="P56" i="16" s="1"/>
  <c r="I8" i="16"/>
  <c r="Q56" i="16" s="1"/>
  <c r="L56" i="16"/>
  <c r="L38" i="16"/>
  <c r="E7" i="16"/>
  <c r="M38" i="16" s="1"/>
  <c r="F7" i="16"/>
  <c r="N38" i="16" s="1"/>
  <c r="G7" i="16"/>
  <c r="O38" i="16" s="1"/>
  <c r="H7" i="16"/>
  <c r="P38" i="16" s="1"/>
  <c r="I7" i="16"/>
  <c r="Q38" i="16" s="1"/>
  <c r="E13" i="16" l="1"/>
  <c r="F13" i="16"/>
  <c r="N39" i="16" s="1"/>
  <c r="G13" i="16"/>
  <c r="O39" i="16" s="1"/>
  <c r="H13" i="16"/>
  <c r="P39" i="16" s="1"/>
  <c r="I13" i="16"/>
  <c r="Q39" i="16" s="1"/>
  <c r="L39" i="16"/>
  <c r="E12" i="16"/>
  <c r="F12" i="16"/>
  <c r="G12" i="16"/>
  <c r="H12" i="16"/>
  <c r="I12" i="16"/>
  <c r="D12" i="16"/>
  <c r="P57" i="16" l="1"/>
  <c r="O57" i="16"/>
  <c r="M39" i="16"/>
  <c r="L57" i="16"/>
  <c r="N57" i="16"/>
  <c r="Q57" i="16"/>
  <c r="M57" i="16"/>
  <c r="D18" i="16"/>
  <c r="L22" i="16" s="1"/>
  <c r="G17" i="16"/>
  <c r="O4" i="16" s="1"/>
  <c r="D17" i="16"/>
  <c r="L4" i="16" s="1"/>
  <c r="F17" i="16"/>
  <c r="N4" i="16" s="1"/>
  <c r="I17" i="16"/>
  <c r="Q4" i="16" s="1"/>
  <c r="E17" i="16"/>
  <c r="M4" i="16" s="1"/>
  <c r="H17" i="16"/>
  <c r="P4" i="16" s="1"/>
  <c r="E18" i="16"/>
  <c r="M22" i="16" s="1"/>
  <c r="F18" i="16"/>
  <c r="N22" i="16" s="1"/>
  <c r="G18" i="16"/>
  <c r="O22" i="16" s="1"/>
  <c r="H18" i="16"/>
  <c r="P22" i="16" s="1"/>
  <c r="I18" i="16"/>
  <c r="Q22" i="16" s="1"/>
</calcChain>
</file>

<file path=xl/comments1.xml><?xml version="1.0" encoding="utf-8"?>
<comments xmlns="http://schemas.openxmlformats.org/spreadsheetml/2006/main">
  <authors>
    <author>Vohra, Neeraj</author>
  </authors>
  <commentList>
    <comment ref="M4" authorId="0" shapeId="0">
      <text>
        <r>
          <rPr>
            <b/>
            <sz val="9"/>
            <color indexed="81"/>
            <rFont val="Tahoma"/>
            <family val="2"/>
          </rPr>
          <t>Vohra, Neeraj:</t>
        </r>
        <r>
          <rPr>
            <sz val="9"/>
            <color indexed="81"/>
            <rFont val="Tahoma"/>
            <family val="2"/>
          </rPr>
          <t xml:space="preserve">
Total PSI Velocity Inclluding Maintenance</t>
        </r>
      </text>
    </comment>
  </commentList>
</comments>
</file>

<file path=xl/comments2.xml><?xml version="1.0" encoding="utf-8"?>
<comments xmlns="http://schemas.openxmlformats.org/spreadsheetml/2006/main">
  <authors>
    <author>Vohra, Neeraj</author>
  </authors>
  <commentList>
    <comment ref="D17" authorId="0" shapeId="0">
      <text>
        <r>
          <rPr>
            <b/>
            <sz val="9"/>
            <color indexed="81"/>
            <rFont val="Tahoma"/>
            <family val="2"/>
          </rPr>
          <t>Vohra, Neeraj:</t>
        </r>
        <r>
          <rPr>
            <sz val="9"/>
            <color indexed="81"/>
            <rFont val="Tahoma"/>
            <family val="2"/>
          </rPr>
          <t xml:space="preserve">
Three new team members</t>
        </r>
      </text>
    </comment>
  </commentList>
</comments>
</file>

<file path=xl/sharedStrings.xml><?xml version="1.0" encoding="utf-8"?>
<sst xmlns="http://schemas.openxmlformats.org/spreadsheetml/2006/main" count="74" uniqueCount="56">
  <si>
    <t>Planned</t>
  </si>
  <si>
    <t>Actual</t>
  </si>
  <si>
    <t>Story Points</t>
  </si>
  <si>
    <t>Defects</t>
  </si>
  <si>
    <t>Found</t>
  </si>
  <si>
    <t>Valid</t>
  </si>
  <si>
    <t>Hours</t>
  </si>
  <si>
    <t>Task-Estimated</t>
  </si>
  <si>
    <t>Task-Actual</t>
  </si>
  <si>
    <t>Activity</t>
  </si>
  <si>
    <t>Sprint Execution</t>
  </si>
  <si>
    <t>Inspect and Adapt</t>
  </si>
  <si>
    <t>PSI Planning</t>
  </si>
  <si>
    <t>Phase</t>
  </si>
  <si>
    <t>Master Data</t>
  </si>
  <si>
    <t>BuHu</t>
  </si>
  <si>
    <t>6 hrs per day team productivity</t>
  </si>
  <si>
    <t>10  hrs per User Story points</t>
  </si>
  <si>
    <t>Week</t>
  </si>
  <si>
    <t>Productivity(hrs/usp)</t>
  </si>
  <si>
    <t>Planned USP</t>
  </si>
  <si>
    <t>Actual USP</t>
  </si>
  <si>
    <t>Internal Defect Density(Valid defects/Actual USP)</t>
  </si>
  <si>
    <t>Team Productivity( Actual Hrs/US completed)</t>
  </si>
  <si>
    <t>Actual Team Productivity</t>
  </si>
  <si>
    <t>Actual Defect Density</t>
  </si>
  <si>
    <t>Defect Density( Valid Defect/US Completed)</t>
  </si>
  <si>
    <t>Code Coverage</t>
  </si>
  <si>
    <t>Productivity Efforts (Planned Hrs- Actual Hrs)</t>
  </si>
  <si>
    <t>Code Coverage 80%</t>
  </si>
  <si>
    <t>Code Coverage (Sonar)</t>
  </si>
  <si>
    <t>Schedule Variance</t>
  </si>
  <si>
    <t>Schedule Slipage( actual USP-planned USP)</t>
  </si>
  <si>
    <t>Productivity Efforts( planned hrs-actual hrs)</t>
  </si>
  <si>
    <t>Sonar Code Coverage( actual-planned)</t>
  </si>
  <si>
    <r>
      <t xml:space="preserve">Planned </t>
    </r>
    <r>
      <rPr>
        <b/>
        <i/>
        <sz val="11"/>
        <color theme="1"/>
        <rFont val="Calibri"/>
        <family val="2"/>
        <scheme val="minor"/>
      </rPr>
      <t>USP</t>
    </r>
    <r>
      <rPr>
        <sz val="11"/>
        <color theme="1"/>
        <rFont val="Calibri"/>
        <family val="2"/>
        <scheme val="minor"/>
      </rPr>
      <t xml:space="preserve"> at the start of the Week</t>
    </r>
  </si>
  <si>
    <r>
      <t xml:space="preserve">Planned </t>
    </r>
    <r>
      <rPr>
        <b/>
        <i/>
        <sz val="11"/>
        <color theme="1"/>
        <rFont val="Calibri"/>
        <family val="2"/>
        <scheme val="minor"/>
      </rPr>
      <t>Hrs</t>
    </r>
    <r>
      <rPr>
        <sz val="11"/>
        <color theme="1"/>
        <rFont val="Calibri"/>
        <family val="2"/>
        <scheme val="minor"/>
      </rPr>
      <t xml:space="preserve"> at the start of the Week</t>
    </r>
  </si>
  <si>
    <t>Total Number Of Valid defects in Week</t>
  </si>
  <si>
    <r>
      <t xml:space="preserve">Actual  </t>
    </r>
    <r>
      <rPr>
        <b/>
        <i/>
        <sz val="11"/>
        <color theme="1"/>
        <rFont val="Calibri"/>
        <family val="2"/>
        <scheme val="minor"/>
      </rPr>
      <t>Hrs</t>
    </r>
    <r>
      <rPr>
        <sz val="11"/>
        <color theme="1"/>
        <rFont val="Calibri"/>
        <family val="2"/>
        <scheme val="minor"/>
      </rPr>
      <t xml:space="preserve"> at the end of the Week</t>
    </r>
  </si>
  <si>
    <r>
      <t xml:space="preserve">Actual  </t>
    </r>
    <r>
      <rPr>
        <b/>
        <i/>
        <sz val="11"/>
        <color theme="1"/>
        <rFont val="Calibri"/>
        <family val="2"/>
        <scheme val="minor"/>
      </rPr>
      <t>USP</t>
    </r>
    <r>
      <rPr>
        <sz val="11"/>
        <color theme="1"/>
        <rFont val="Calibri"/>
        <family val="2"/>
        <scheme val="minor"/>
      </rPr>
      <t xml:space="preserve">  completedat the end of the Week</t>
    </r>
  </si>
  <si>
    <t xml:space="preserve">Planned </t>
  </si>
  <si>
    <t xml:space="preserve">Actual </t>
  </si>
  <si>
    <t>Schedule Variance( actual-planned)</t>
  </si>
  <si>
    <t>Productivity Efforts( planned hours-actual hrs)</t>
  </si>
  <si>
    <t>Task Id</t>
  </si>
  <si>
    <t>Subtask Id</t>
  </si>
  <si>
    <t>Planned Hrs</t>
  </si>
  <si>
    <t>Actual Hrs</t>
  </si>
  <si>
    <t>US id</t>
  </si>
  <si>
    <t>ES-463</t>
  </si>
  <si>
    <t>Assigned to</t>
  </si>
  <si>
    <t>Neha Jain</t>
  </si>
  <si>
    <t>Tushar Bhardwaj</t>
  </si>
  <si>
    <t>Poonam Malwal</t>
  </si>
  <si>
    <t>remark</t>
  </si>
  <si>
    <t>Database setup changed, Offshore team stuck because they were not aware about that.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</si>
</sst>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0" fillId="3" borderId="0" xfId="0" applyFont="1" applyFill="1" applyBorder="1"/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4" xfId="0" applyBorder="1"/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/>
    <xf numFmtId="0" fontId="1" fillId="0" borderId="5" xfId="0" applyFont="1" applyBorder="1" applyAlignment="1">
      <alignment vertical="center"/>
    </xf>
    <xf numFmtId="0" fontId="0" fillId="0" borderId="1" xfId="0" applyFill="1" applyBorder="1"/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0" fillId="2" borderId="0" xfId="0" applyFont="1" applyFill="1" applyBorder="1" applyAlignment="1">
      <alignment horizontal="center"/>
    </xf>
    <xf numFmtId="0" fontId="0" fillId="2" borderId="9" xfId="0" applyFill="1" applyBorder="1" applyAlignment="1">
      <alignment vertical="center"/>
    </xf>
    <xf numFmtId="0" fontId="0" fillId="2" borderId="9" xfId="0" applyFont="1" applyFill="1" applyBorder="1" applyAlignment="1">
      <alignment horizontal="center"/>
    </xf>
    <xf numFmtId="0" fontId="0" fillId="2" borderId="10" xfId="0" applyFill="1" applyBorder="1" applyAlignment="1">
      <alignment vertical="center"/>
    </xf>
    <xf numFmtId="0" fontId="0" fillId="2" borderId="10" xfId="0" applyFont="1" applyFill="1" applyBorder="1" applyAlignment="1">
      <alignment horizont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Team Productivity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BuHu!$K$3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BuHu!$L$3:$Q$3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0-4763-9CF7-F782AB199D0E}"/>
            </c:ext>
          </c:extLst>
        </c:ser>
        <c:ser>
          <c:idx val="1"/>
          <c:order val="1"/>
          <c:tx>
            <c:strRef>
              <c:f>BuHu!$K$4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BuHu!$L$4:$Q$4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0-4763-9CF7-F782AB199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083584"/>
        <c:axId val="662089408"/>
      </c:barChart>
      <c:catAx>
        <c:axId val="662083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89408"/>
        <c:crosses val="autoZero"/>
        <c:auto val="1"/>
        <c:lblAlgn val="ctr"/>
        <c:lblOffset val="100"/>
        <c:noMultiLvlLbl val="0"/>
      </c:catAx>
      <c:valAx>
        <c:axId val="6620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8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Defect Density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BuHu!$K$21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BuHu!$L$21:$Q$21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5-4A29-B84E-38E9D0E264D9}"/>
            </c:ext>
          </c:extLst>
        </c:ser>
        <c:ser>
          <c:idx val="1"/>
          <c:order val="1"/>
          <c:tx>
            <c:strRef>
              <c:f>BuHu!$K$22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BuHu!$L$22:$Q$22</c:f>
              <c:numCache>
                <c:formatCode>General</c:formatCode>
                <c:ptCount val="6"/>
                <c:pt idx="0">
                  <c:v>0</c:v>
                </c:pt>
                <c:pt idx="1">
                  <c:v>0.16666666666666666</c:v>
                </c:pt>
                <c:pt idx="2">
                  <c:v>0</c:v>
                </c:pt>
                <c:pt idx="3">
                  <c:v>0.16666666666666666</c:v>
                </c:pt>
                <c:pt idx="4">
                  <c:v>0</c:v>
                </c:pt>
                <c:pt idx="5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95-4A29-B84E-38E9D0E26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159856"/>
        <c:axId val="670166928"/>
      </c:barChart>
      <c:catAx>
        <c:axId val="670159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166928"/>
        <c:crosses val="autoZero"/>
        <c:auto val="1"/>
        <c:lblAlgn val="ctr"/>
        <c:lblOffset val="100"/>
        <c:noMultiLvlLbl val="0"/>
      </c:catAx>
      <c:valAx>
        <c:axId val="67016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15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Schedule Slipage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BuHu!$K$38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BuHu!$L$38:$R$38</c:f>
              <c:numCache>
                <c:formatCode>General</c:formatCode>
                <c:ptCount val="7"/>
                <c:pt idx="0">
                  <c:v>9</c:v>
                </c:pt>
                <c:pt idx="1">
                  <c:v>6</c:v>
                </c:pt>
                <c:pt idx="2">
                  <c:v>9</c:v>
                </c:pt>
                <c:pt idx="3">
                  <c:v>6</c:v>
                </c:pt>
                <c:pt idx="4">
                  <c:v>9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4-440E-9D74-55EA641D9037}"/>
            </c:ext>
          </c:extLst>
        </c:ser>
        <c:ser>
          <c:idx val="1"/>
          <c:order val="1"/>
          <c:tx>
            <c:strRef>
              <c:f>BuHu!$K$39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BuHu!$L$39:$R$39</c:f>
              <c:numCache>
                <c:formatCode>General</c:formatCode>
                <c:ptCount val="7"/>
                <c:pt idx="0">
                  <c:v>9</c:v>
                </c:pt>
                <c:pt idx="1">
                  <c:v>6</c:v>
                </c:pt>
                <c:pt idx="2">
                  <c:v>9</c:v>
                </c:pt>
                <c:pt idx="3">
                  <c:v>6</c:v>
                </c:pt>
                <c:pt idx="4">
                  <c:v>9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4-440E-9D74-55EA641D9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420400"/>
        <c:axId val="670409584"/>
      </c:barChart>
      <c:catAx>
        <c:axId val="670420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409584"/>
        <c:crosses val="autoZero"/>
        <c:auto val="1"/>
        <c:lblAlgn val="ctr"/>
        <c:lblOffset val="100"/>
        <c:noMultiLvlLbl val="0"/>
      </c:catAx>
      <c:valAx>
        <c:axId val="67040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42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Sonar Code Coverage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BuHu!$K$73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BuHu!$L$73:$Q$73</c:f>
              <c:numCache>
                <c:formatCode>General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D-4DCB-993C-0A388248C86E}"/>
            </c:ext>
          </c:extLst>
        </c:ser>
        <c:ser>
          <c:idx val="1"/>
          <c:order val="1"/>
          <c:tx>
            <c:strRef>
              <c:f>BuHu!$K$74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BuHu!$L$74:$Q$74</c:f>
              <c:numCache>
                <c:formatCode>General</c:formatCode>
                <c:ptCount val="6"/>
                <c:pt idx="0">
                  <c:v>0.9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0.7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D-4DCB-993C-0A388248C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3957600"/>
        <c:axId val="673951360"/>
      </c:barChart>
      <c:catAx>
        <c:axId val="673957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951360"/>
        <c:crosses val="autoZero"/>
        <c:auto val="1"/>
        <c:lblAlgn val="ctr"/>
        <c:lblOffset val="100"/>
        <c:noMultiLvlLbl val="0"/>
      </c:catAx>
      <c:valAx>
        <c:axId val="67395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95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Productivity</a:t>
            </a:r>
            <a:r>
              <a:rPr lang="en-IN" baseline="0"/>
              <a:t> Efforts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BuHu!$K$56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BuHu!$L$56:$Q$56</c:f>
              <c:numCache>
                <c:formatCode>General</c:formatCode>
                <c:ptCount val="6"/>
                <c:pt idx="0">
                  <c:v>90</c:v>
                </c:pt>
                <c:pt idx="1">
                  <c:v>60</c:v>
                </c:pt>
                <c:pt idx="2">
                  <c:v>90</c:v>
                </c:pt>
                <c:pt idx="3">
                  <c:v>60</c:v>
                </c:pt>
                <c:pt idx="4">
                  <c:v>90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0-46FD-ACB7-0F49CDC7FA19}"/>
            </c:ext>
          </c:extLst>
        </c:ser>
        <c:ser>
          <c:idx val="1"/>
          <c:order val="1"/>
          <c:tx>
            <c:strRef>
              <c:f>BuHu!$K$57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BuHu!$L$57:$Q$57</c:f>
              <c:numCache>
                <c:formatCode>General</c:formatCode>
                <c:ptCount val="6"/>
                <c:pt idx="0">
                  <c:v>90</c:v>
                </c:pt>
                <c:pt idx="1">
                  <c:v>60</c:v>
                </c:pt>
                <c:pt idx="2">
                  <c:v>90</c:v>
                </c:pt>
                <c:pt idx="3">
                  <c:v>60</c:v>
                </c:pt>
                <c:pt idx="4">
                  <c:v>90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C0-46FD-ACB7-0F49CDC7F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3958016"/>
        <c:axId val="673959264"/>
      </c:barChart>
      <c:catAx>
        <c:axId val="673958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959264"/>
        <c:crosses val="autoZero"/>
        <c:auto val="1"/>
        <c:lblAlgn val="ctr"/>
        <c:lblOffset val="100"/>
        <c:noMultiLvlLbl val="0"/>
      </c:catAx>
      <c:valAx>
        <c:axId val="67395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95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9524</xdr:colOff>
      <xdr:row>3</xdr:row>
      <xdr:rowOff>190501</xdr:rowOff>
    </xdr:from>
    <xdr:to>
      <xdr:col>17</xdr:col>
      <xdr:colOff>9524</xdr:colOff>
      <xdr:row>14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590550</xdr:colOff>
      <xdr:row>21</xdr:row>
      <xdr:rowOff>180975</xdr:rowOff>
    </xdr:from>
    <xdr:to>
      <xdr:col>17</xdr:col>
      <xdr:colOff>28575</xdr:colOff>
      <xdr:row>34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28574</xdr:colOff>
      <xdr:row>39</xdr:row>
      <xdr:rowOff>133350</xdr:rowOff>
    </xdr:from>
    <xdr:to>
      <xdr:col>17</xdr:col>
      <xdr:colOff>66674</xdr:colOff>
      <xdr:row>51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600074</xdr:colOff>
      <xdr:row>74</xdr:row>
      <xdr:rowOff>9525</xdr:rowOff>
    </xdr:from>
    <xdr:to>
      <xdr:col>17</xdr:col>
      <xdr:colOff>9524</xdr:colOff>
      <xdr:row>86</xdr:row>
      <xdr:rowOff>171450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590549</xdr:colOff>
      <xdr:row>57</xdr:row>
      <xdr:rowOff>19050</xdr:rowOff>
    </xdr:from>
    <xdr:to>
      <xdr:col>17</xdr:col>
      <xdr:colOff>19049</xdr:colOff>
      <xdr:row>70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S17"/>
  <sheetViews>
    <sheetView workbookViewId="0">
      <selection activeCell="D28" sqref="D28"/>
    </sheetView>
  </sheetViews>
  <sheetFormatPr defaultRowHeight="15" x14ac:dyDescent="0.25"/>
  <cols>
    <col min="1" max="2" width="9.140625" style="3"/>
    <col min="3" max="3" width="5.7109375" style="3" bestFit="1" customWidth="1"/>
    <col min="4" max="4" width="45.85546875" style="4" bestFit="1" customWidth="1"/>
    <col min="5" max="5" width="15.85546875" style="3" bestFit="1" customWidth="1"/>
    <col min="6" max="11" width="7.140625" style="3" bestFit="1" customWidth="1"/>
    <col min="12" max="12" width="0.7109375" style="3" customWidth="1"/>
    <col min="13" max="13" width="72.42578125" style="3" bestFit="1" customWidth="1"/>
    <col min="14" max="14" width="12" style="3" bestFit="1" customWidth="1"/>
    <col min="15" max="15" width="17.28515625" style="3" customWidth="1"/>
    <col min="16" max="19" width="11.28515625" style="3" customWidth="1"/>
    <col min="20" max="16384" width="9.140625" style="3"/>
  </cols>
  <sheetData>
    <row r="1" spans="3:19" ht="15.75" thickBot="1" x14ac:dyDescent="0.3"/>
    <row r="2" spans="3:19" x14ac:dyDescent="0.25">
      <c r="C2" s="37" t="s">
        <v>15</v>
      </c>
      <c r="D2" s="35" t="s">
        <v>6</v>
      </c>
      <c r="E2" s="26" t="s">
        <v>7</v>
      </c>
      <c r="F2" s="27">
        <v>90</v>
      </c>
      <c r="G2" s="27">
        <v>60</v>
      </c>
      <c r="H2" s="27">
        <v>90</v>
      </c>
      <c r="I2" s="27">
        <v>60</v>
      </c>
      <c r="J2" s="27">
        <v>90</v>
      </c>
      <c r="K2" s="27">
        <v>60</v>
      </c>
      <c r="N2" s="5"/>
      <c r="O2" s="5"/>
      <c r="P2" s="5"/>
      <c r="Q2" s="5"/>
      <c r="R2" s="5"/>
      <c r="S2" s="5"/>
    </row>
    <row r="3" spans="3:19" x14ac:dyDescent="0.25">
      <c r="C3" s="38"/>
      <c r="D3" s="36"/>
      <c r="E3" s="28" t="s">
        <v>8</v>
      </c>
      <c r="F3" s="29">
        <v>90</v>
      </c>
      <c r="G3" s="29">
        <v>60</v>
      </c>
      <c r="H3" s="29">
        <v>90</v>
      </c>
      <c r="I3" s="29">
        <v>60</v>
      </c>
      <c r="J3" s="29">
        <v>90</v>
      </c>
      <c r="K3" s="29">
        <v>60</v>
      </c>
      <c r="N3" s="5"/>
      <c r="O3" s="5"/>
      <c r="P3" s="5"/>
      <c r="Q3" s="5"/>
      <c r="R3" s="5"/>
      <c r="S3" s="5"/>
    </row>
    <row r="4" spans="3:19" x14ac:dyDescent="0.25">
      <c r="C4" s="38"/>
      <c r="D4" s="35" t="s">
        <v>2</v>
      </c>
      <c r="E4" s="26" t="s">
        <v>20</v>
      </c>
      <c r="F4" s="27">
        <v>9</v>
      </c>
      <c r="G4" s="27">
        <v>6</v>
      </c>
      <c r="H4" s="27">
        <v>9</v>
      </c>
      <c r="I4" s="27">
        <v>6</v>
      </c>
      <c r="J4" s="27">
        <v>9</v>
      </c>
      <c r="K4" s="27">
        <v>6</v>
      </c>
    </row>
    <row r="5" spans="3:19" x14ac:dyDescent="0.25">
      <c r="C5" s="38"/>
      <c r="D5" s="36"/>
      <c r="E5" s="28" t="s">
        <v>21</v>
      </c>
      <c r="F5" s="29">
        <v>9</v>
      </c>
      <c r="G5" s="29">
        <v>6</v>
      </c>
      <c r="H5" s="29">
        <v>9</v>
      </c>
      <c r="I5" s="29">
        <v>6</v>
      </c>
      <c r="J5" s="29">
        <v>9</v>
      </c>
      <c r="K5" s="29">
        <v>6</v>
      </c>
    </row>
    <row r="6" spans="3:19" x14ac:dyDescent="0.25">
      <c r="C6" s="38"/>
      <c r="D6" s="35" t="s">
        <v>3</v>
      </c>
      <c r="E6" s="26" t="s">
        <v>5</v>
      </c>
      <c r="F6" s="27">
        <v>0</v>
      </c>
      <c r="G6" s="27">
        <v>1</v>
      </c>
      <c r="H6" s="27">
        <v>0</v>
      </c>
      <c r="I6" s="27">
        <v>1</v>
      </c>
      <c r="J6" s="27">
        <v>0</v>
      </c>
      <c r="K6" s="27">
        <v>1</v>
      </c>
    </row>
    <row r="7" spans="3:19" x14ac:dyDescent="0.25">
      <c r="C7" s="38"/>
      <c r="D7" s="36"/>
      <c r="E7" s="28" t="s">
        <v>4</v>
      </c>
      <c r="F7" s="29">
        <v>0</v>
      </c>
      <c r="G7" s="29">
        <v>1</v>
      </c>
      <c r="H7" s="29">
        <v>0</v>
      </c>
      <c r="I7" s="29">
        <v>1</v>
      </c>
      <c r="J7" s="29">
        <v>0</v>
      </c>
      <c r="K7" s="29">
        <v>1</v>
      </c>
      <c r="M7" s="6"/>
    </row>
    <row r="8" spans="3:19" x14ac:dyDescent="0.25">
      <c r="C8" s="38"/>
      <c r="D8" s="35" t="s">
        <v>27</v>
      </c>
      <c r="E8" s="26" t="s">
        <v>40</v>
      </c>
      <c r="F8" s="27">
        <f>F15</f>
        <v>0.8</v>
      </c>
      <c r="G8" s="27">
        <f t="shared" ref="G8:K8" si="0">G15</f>
        <v>0.8</v>
      </c>
      <c r="H8" s="27">
        <f t="shared" si="0"/>
        <v>0.8</v>
      </c>
      <c r="I8" s="27">
        <f t="shared" si="0"/>
        <v>0.8</v>
      </c>
      <c r="J8" s="27">
        <f t="shared" si="0"/>
        <v>0.8</v>
      </c>
      <c r="K8" s="27">
        <f t="shared" si="0"/>
        <v>0.8</v>
      </c>
      <c r="M8" s="6"/>
    </row>
    <row r="9" spans="3:19" ht="15.75" thickBot="1" x14ac:dyDescent="0.3">
      <c r="C9" s="39"/>
      <c r="D9" s="35"/>
      <c r="E9" s="26" t="s">
        <v>41</v>
      </c>
      <c r="F9" s="18">
        <v>0.9</v>
      </c>
      <c r="G9" s="18">
        <f>Data!I10</f>
        <v>0</v>
      </c>
      <c r="H9" s="18">
        <v>1</v>
      </c>
      <c r="I9" s="18">
        <f>Data!K10</f>
        <v>0</v>
      </c>
      <c r="J9" s="18">
        <v>0.7</v>
      </c>
      <c r="K9" s="14">
        <f>Data!M10</f>
        <v>0</v>
      </c>
      <c r="M9" s="6"/>
    </row>
    <row r="10" spans="3:19" x14ac:dyDescent="0.25">
      <c r="C10" s="23"/>
      <c r="E10" s="24"/>
      <c r="F10" s="25"/>
      <c r="G10" s="25"/>
      <c r="H10" s="25"/>
      <c r="I10" s="25"/>
      <c r="J10" s="25"/>
      <c r="K10" s="25"/>
      <c r="M10" s="6"/>
    </row>
    <row r="12" spans="3:19" x14ac:dyDescent="0.25">
      <c r="C12" s="34" t="s">
        <v>14</v>
      </c>
      <c r="D12" s="34"/>
      <c r="E12" s="34"/>
      <c r="F12" s="34"/>
      <c r="G12" s="34"/>
      <c r="H12" s="34"/>
      <c r="I12" s="34"/>
      <c r="J12" s="34"/>
      <c r="K12" s="34"/>
      <c r="N12" s="3" t="s">
        <v>17</v>
      </c>
    </row>
    <row r="13" spans="3:19" x14ac:dyDescent="0.25">
      <c r="C13" s="30"/>
      <c r="D13" s="31" t="s">
        <v>19</v>
      </c>
      <c r="E13" s="30"/>
      <c r="F13" s="27">
        <v>10</v>
      </c>
      <c r="G13" s="27">
        <v>10</v>
      </c>
      <c r="H13" s="27">
        <v>10</v>
      </c>
      <c r="I13" s="27">
        <v>10</v>
      </c>
      <c r="J13" s="32">
        <v>10</v>
      </c>
      <c r="K13" s="32">
        <v>10</v>
      </c>
      <c r="N13" s="3" t="s">
        <v>16</v>
      </c>
    </row>
    <row r="14" spans="3:19" x14ac:dyDescent="0.25">
      <c r="C14" s="30"/>
      <c r="D14" s="31" t="s">
        <v>22</v>
      </c>
      <c r="E14" s="30"/>
      <c r="F14" s="27">
        <v>0.1</v>
      </c>
      <c r="G14" s="27">
        <v>0.1</v>
      </c>
      <c r="H14" s="27">
        <v>0.1</v>
      </c>
      <c r="I14" s="27">
        <v>0.1</v>
      </c>
      <c r="J14" s="27">
        <v>0.1</v>
      </c>
      <c r="K14" s="27">
        <v>0.1</v>
      </c>
      <c r="N14" s="3" t="s">
        <v>29</v>
      </c>
    </row>
    <row r="15" spans="3:19" x14ac:dyDescent="0.25">
      <c r="C15" s="30"/>
      <c r="D15" s="31" t="s">
        <v>27</v>
      </c>
      <c r="E15" s="30"/>
      <c r="F15" s="27">
        <v>0.8</v>
      </c>
      <c r="G15" s="27">
        <v>0.8</v>
      </c>
      <c r="H15" s="27">
        <v>0.8</v>
      </c>
      <c r="I15" s="27">
        <v>0.8</v>
      </c>
      <c r="J15" s="27">
        <v>0.8</v>
      </c>
      <c r="K15" s="27">
        <v>0.8</v>
      </c>
    </row>
    <row r="16" spans="3:19" x14ac:dyDescent="0.25">
      <c r="C16" s="30"/>
      <c r="D16" s="31" t="s">
        <v>31</v>
      </c>
      <c r="E16" s="30"/>
      <c r="F16" s="27">
        <v>0</v>
      </c>
      <c r="G16" s="27">
        <v>0</v>
      </c>
      <c r="H16" s="27">
        <v>0</v>
      </c>
      <c r="I16" s="27">
        <v>0</v>
      </c>
      <c r="J16" s="32">
        <v>0</v>
      </c>
      <c r="K16" s="32">
        <v>0</v>
      </c>
    </row>
    <row r="17" spans="3:11" x14ac:dyDescent="0.25">
      <c r="C17" s="30"/>
      <c r="D17" s="31" t="s">
        <v>28</v>
      </c>
      <c r="E17" s="30"/>
      <c r="F17" s="27">
        <v>0</v>
      </c>
      <c r="G17" s="27">
        <v>0</v>
      </c>
      <c r="H17" s="27">
        <v>0</v>
      </c>
      <c r="I17" s="27">
        <v>0</v>
      </c>
      <c r="J17" s="32">
        <v>0</v>
      </c>
      <c r="K17" s="32">
        <v>0</v>
      </c>
    </row>
  </sheetData>
  <mergeCells count="6">
    <mergeCell ref="C12:K12"/>
    <mergeCell ref="D2:D3"/>
    <mergeCell ref="D6:D7"/>
    <mergeCell ref="D8:D9"/>
    <mergeCell ref="C2:C9"/>
    <mergeCell ref="D4:D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Q99"/>
  <sheetViews>
    <sheetView tabSelected="1" workbookViewId="0">
      <selection activeCell="B39" sqref="B39"/>
    </sheetView>
  </sheetViews>
  <sheetFormatPr defaultRowHeight="15" x14ac:dyDescent="0.25"/>
  <cols>
    <col min="2" max="2" width="24.5703125" bestFit="1" customWidth="1"/>
    <col min="3" max="3" width="72.42578125" bestFit="1" customWidth="1"/>
    <col min="4" max="6" width="9.42578125" bestFit="1" customWidth="1"/>
    <col min="11" max="11" width="15.28515625" bestFit="1" customWidth="1"/>
  </cols>
  <sheetData>
    <row r="2" spans="1:17" ht="15.75" thickBot="1" x14ac:dyDescent="0.3">
      <c r="K2" s="40" t="s">
        <v>23</v>
      </c>
      <c r="L2" s="40"/>
      <c r="M2" s="40"/>
      <c r="N2" s="40"/>
      <c r="O2" s="40"/>
      <c r="P2" s="40"/>
      <c r="Q2" s="40"/>
    </row>
    <row r="3" spans="1:17" x14ac:dyDescent="0.25">
      <c r="B3" s="41" t="s">
        <v>13</v>
      </c>
      <c r="C3" s="43" t="s">
        <v>9</v>
      </c>
      <c r="D3" s="7" t="s">
        <v>18</v>
      </c>
      <c r="E3" s="7" t="s">
        <v>18</v>
      </c>
      <c r="F3" s="7" t="s">
        <v>18</v>
      </c>
      <c r="G3" s="7" t="s">
        <v>18</v>
      </c>
      <c r="H3" s="7" t="s">
        <v>18</v>
      </c>
      <c r="I3" s="21" t="s">
        <v>18</v>
      </c>
      <c r="K3" s="19" t="s">
        <v>0</v>
      </c>
      <c r="L3">
        <f>Data!F13</f>
        <v>10</v>
      </c>
      <c r="M3">
        <f>Data!G13</f>
        <v>10</v>
      </c>
      <c r="N3">
        <f>Data!H13</f>
        <v>10</v>
      </c>
      <c r="O3">
        <f>Data!I13</f>
        <v>10</v>
      </c>
      <c r="P3">
        <f>Data!J13</f>
        <v>10</v>
      </c>
      <c r="Q3">
        <f>Data!K13</f>
        <v>10</v>
      </c>
    </row>
    <row r="4" spans="1:17" ht="15.75" thickBot="1" x14ac:dyDescent="0.3">
      <c r="B4" s="42"/>
      <c r="C4" s="44"/>
      <c r="D4" s="8">
        <v>1</v>
      </c>
      <c r="E4" s="8">
        <v>2</v>
      </c>
      <c r="F4" s="8">
        <v>3</v>
      </c>
      <c r="G4" s="8">
        <v>4</v>
      </c>
      <c r="H4" s="8">
        <v>5</v>
      </c>
      <c r="I4" s="9">
        <v>6</v>
      </c>
      <c r="K4" s="20" t="s">
        <v>1</v>
      </c>
      <c r="L4">
        <f>D17</f>
        <v>10</v>
      </c>
      <c r="M4">
        <f t="shared" ref="M4:Q4" si="0">E17</f>
        <v>10</v>
      </c>
      <c r="N4">
        <f t="shared" si="0"/>
        <v>10</v>
      </c>
      <c r="O4">
        <f t="shared" si="0"/>
        <v>10</v>
      </c>
      <c r="P4">
        <f t="shared" si="0"/>
        <v>10</v>
      </c>
      <c r="Q4">
        <f t="shared" si="0"/>
        <v>10</v>
      </c>
    </row>
    <row r="5" spans="1:17" x14ac:dyDescent="0.25">
      <c r="C5" s="2"/>
      <c r="D5" s="2"/>
      <c r="E5" s="2"/>
      <c r="F5" s="2"/>
      <c r="G5" s="2"/>
      <c r="H5" s="2"/>
      <c r="I5" s="2"/>
    </row>
    <row r="6" spans="1:17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7" x14ac:dyDescent="0.25">
      <c r="A7" s="2"/>
      <c r="B7" s="45" t="s">
        <v>12</v>
      </c>
      <c r="C7" s="10" t="s">
        <v>35</v>
      </c>
      <c r="D7" s="15">
        <f>Data!F4</f>
        <v>9</v>
      </c>
      <c r="E7" s="15">
        <f>Data!G4</f>
        <v>6</v>
      </c>
      <c r="F7" s="15">
        <f>Data!H4</f>
        <v>9</v>
      </c>
      <c r="G7" s="15">
        <f>Data!I4</f>
        <v>6</v>
      </c>
      <c r="H7" s="15">
        <f>Data!J4</f>
        <v>9</v>
      </c>
      <c r="I7" s="12">
        <f>Data!K4</f>
        <v>6</v>
      </c>
      <c r="J7" s="2"/>
    </row>
    <row r="8" spans="1:17" ht="15.75" thickBot="1" x14ac:dyDescent="0.3">
      <c r="A8" s="2"/>
      <c r="B8" s="46"/>
      <c r="C8" s="11" t="s">
        <v>36</v>
      </c>
      <c r="D8" s="16">
        <f>Data!F2</f>
        <v>90</v>
      </c>
      <c r="E8" s="16">
        <f>Data!G2</f>
        <v>60</v>
      </c>
      <c r="F8" s="16">
        <f>Data!H2</f>
        <v>90</v>
      </c>
      <c r="G8" s="16">
        <f>Data!I2</f>
        <v>60</v>
      </c>
      <c r="H8" s="16">
        <f>Data!J2</f>
        <v>90</v>
      </c>
      <c r="I8" s="14">
        <f>Data!K2</f>
        <v>60</v>
      </c>
      <c r="J8" s="2"/>
    </row>
    <row r="9" spans="1:17" x14ac:dyDescent="0.25">
      <c r="A9" s="2"/>
      <c r="B9" s="2"/>
      <c r="C9" s="2"/>
      <c r="D9" s="1"/>
      <c r="E9" s="1"/>
      <c r="F9" s="1"/>
      <c r="G9" s="1"/>
      <c r="H9" s="1"/>
      <c r="I9" s="1"/>
      <c r="J9" s="2"/>
    </row>
    <row r="10" spans="1:17" ht="15.75" thickBot="1" x14ac:dyDescent="0.3">
      <c r="A10" s="2"/>
      <c r="B10" s="2"/>
      <c r="C10" s="2"/>
      <c r="D10" s="1"/>
      <c r="E10" s="1"/>
      <c r="F10" s="1"/>
      <c r="G10" s="1"/>
      <c r="H10" s="1"/>
      <c r="I10" s="1"/>
      <c r="J10" s="2"/>
    </row>
    <row r="11" spans="1:17" x14ac:dyDescent="0.25">
      <c r="A11" s="2"/>
      <c r="B11" s="45" t="s">
        <v>10</v>
      </c>
      <c r="C11" s="10" t="s">
        <v>37</v>
      </c>
      <c r="D11" s="17">
        <f>Data!F6</f>
        <v>0</v>
      </c>
      <c r="E11" s="17">
        <f>Data!G6</f>
        <v>1</v>
      </c>
      <c r="F11" s="17">
        <f>Data!H6</f>
        <v>0</v>
      </c>
      <c r="G11" s="17">
        <f>Data!I6</f>
        <v>1</v>
      </c>
      <c r="H11" s="17">
        <f>Data!J6</f>
        <v>0</v>
      </c>
      <c r="I11" s="12">
        <f>Data!K6</f>
        <v>1</v>
      </c>
      <c r="J11" s="2"/>
    </row>
    <row r="12" spans="1:17" x14ac:dyDescent="0.25">
      <c r="A12" s="2"/>
      <c r="B12" s="47"/>
      <c r="C12" s="2" t="s">
        <v>38</v>
      </c>
      <c r="D12" s="1">
        <f>Data!F3</f>
        <v>90</v>
      </c>
      <c r="E12" s="1">
        <f>Data!G3</f>
        <v>60</v>
      </c>
      <c r="F12" s="1">
        <f>Data!H3</f>
        <v>90</v>
      </c>
      <c r="G12" s="1">
        <f>Data!I3</f>
        <v>60</v>
      </c>
      <c r="H12" s="1">
        <f>Data!J3</f>
        <v>90</v>
      </c>
      <c r="I12" s="13">
        <f>Data!K3</f>
        <v>60</v>
      </c>
      <c r="J12" s="2"/>
    </row>
    <row r="13" spans="1:17" x14ac:dyDescent="0.25">
      <c r="A13" s="2"/>
      <c r="B13" s="47"/>
      <c r="C13" s="2" t="s">
        <v>39</v>
      </c>
      <c r="D13" s="1">
        <f>Data!F5</f>
        <v>9</v>
      </c>
      <c r="E13" s="1">
        <f>Data!G5</f>
        <v>6</v>
      </c>
      <c r="F13" s="1">
        <f>Data!H5</f>
        <v>9</v>
      </c>
      <c r="G13" s="1">
        <f>Data!I5</f>
        <v>6</v>
      </c>
      <c r="H13" s="1">
        <f>Data!J5</f>
        <v>9</v>
      </c>
      <c r="I13" s="13">
        <f>Data!K5</f>
        <v>6</v>
      </c>
      <c r="J13" s="2"/>
    </row>
    <row r="14" spans="1:17" ht="15.75" thickBot="1" x14ac:dyDescent="0.3">
      <c r="A14" s="2"/>
      <c r="B14" s="46"/>
      <c r="C14" s="22" t="s">
        <v>30</v>
      </c>
      <c r="D14" s="18">
        <f>Data!F9</f>
        <v>0.9</v>
      </c>
      <c r="E14" s="18">
        <f>Data!G9</f>
        <v>0</v>
      </c>
      <c r="F14" s="18">
        <f>Data!H9</f>
        <v>1</v>
      </c>
      <c r="G14" s="18">
        <f>Data!I9</f>
        <v>0</v>
      </c>
      <c r="H14" s="18">
        <f>Data!J9</f>
        <v>0.7</v>
      </c>
      <c r="I14" s="14">
        <f>Data!K9</f>
        <v>0</v>
      </c>
      <c r="J14" s="2"/>
      <c r="K14" s="20"/>
    </row>
    <row r="15" spans="1:17" x14ac:dyDescent="0.25">
      <c r="A15" s="2"/>
      <c r="B15" s="2"/>
      <c r="C15" s="2"/>
      <c r="D15" s="1"/>
      <c r="E15" s="1"/>
      <c r="F15" s="1"/>
      <c r="G15" s="1"/>
      <c r="H15" s="1"/>
      <c r="I15" s="1"/>
      <c r="J15" s="2"/>
    </row>
    <row r="16" spans="1:17" ht="15.75" thickBot="1" x14ac:dyDescent="0.3">
      <c r="A16" s="2"/>
      <c r="B16" s="2"/>
      <c r="C16" s="2"/>
      <c r="D16" s="1"/>
      <c r="E16" s="1"/>
      <c r="F16" s="1"/>
      <c r="G16" s="1"/>
      <c r="H16" s="1"/>
      <c r="I16" s="1"/>
      <c r="J16" s="2"/>
    </row>
    <row r="17" spans="1:17" x14ac:dyDescent="0.25">
      <c r="A17" s="2"/>
      <c r="B17" s="45" t="s">
        <v>11</v>
      </c>
      <c r="C17" s="10" t="s">
        <v>24</v>
      </c>
      <c r="D17" s="17">
        <f t="shared" ref="D17:I17" si="1">D12/D13</f>
        <v>10</v>
      </c>
      <c r="E17" s="17">
        <f t="shared" si="1"/>
        <v>10</v>
      </c>
      <c r="F17" s="17">
        <f t="shared" si="1"/>
        <v>10</v>
      </c>
      <c r="G17" s="17">
        <f t="shared" si="1"/>
        <v>10</v>
      </c>
      <c r="H17" s="17">
        <f t="shared" si="1"/>
        <v>10</v>
      </c>
      <c r="I17" s="12">
        <f t="shared" si="1"/>
        <v>10</v>
      </c>
      <c r="J17" s="2"/>
    </row>
    <row r="18" spans="1:17" x14ac:dyDescent="0.25">
      <c r="A18" s="2"/>
      <c r="B18" s="47"/>
      <c r="C18" s="2" t="s">
        <v>25</v>
      </c>
      <c r="D18" s="1">
        <f t="shared" ref="D18:I18" si="2">D11/D13</f>
        <v>0</v>
      </c>
      <c r="E18" s="1">
        <f t="shared" si="2"/>
        <v>0.16666666666666666</v>
      </c>
      <c r="F18" s="1">
        <f t="shared" si="2"/>
        <v>0</v>
      </c>
      <c r="G18" s="1">
        <f t="shared" si="2"/>
        <v>0.16666666666666666</v>
      </c>
      <c r="H18" s="1">
        <f t="shared" si="2"/>
        <v>0</v>
      </c>
      <c r="I18" s="13">
        <f t="shared" si="2"/>
        <v>0.16666666666666666</v>
      </c>
      <c r="J18" s="2"/>
    </row>
    <row r="19" spans="1:17" x14ac:dyDescent="0.25">
      <c r="A19" s="2"/>
      <c r="B19" s="47"/>
      <c r="C19" s="2" t="s">
        <v>42</v>
      </c>
      <c r="D19" s="1">
        <f>D13-D7</f>
        <v>0</v>
      </c>
      <c r="E19" s="1">
        <f t="shared" ref="E19:I19" si="3">E13-E7</f>
        <v>0</v>
      </c>
      <c r="F19" s="1">
        <f t="shared" si="3"/>
        <v>0</v>
      </c>
      <c r="G19" s="1">
        <f t="shared" si="3"/>
        <v>0</v>
      </c>
      <c r="H19" s="1">
        <f t="shared" si="3"/>
        <v>0</v>
      </c>
      <c r="I19" s="13">
        <f t="shared" si="3"/>
        <v>0</v>
      </c>
      <c r="J19" s="2"/>
    </row>
    <row r="20" spans="1:17" ht="15.75" thickBot="1" x14ac:dyDescent="0.3">
      <c r="A20" s="2"/>
      <c r="B20" s="46"/>
      <c r="C20" s="11" t="s">
        <v>43</v>
      </c>
      <c r="D20" s="18">
        <f>D8-D12</f>
        <v>0</v>
      </c>
      <c r="E20" s="18">
        <f t="shared" ref="E20:I20" si="4">E8-E12</f>
        <v>0</v>
      </c>
      <c r="F20" s="18">
        <f t="shared" si="4"/>
        <v>0</v>
      </c>
      <c r="G20" s="18">
        <f t="shared" si="4"/>
        <v>0</v>
      </c>
      <c r="H20" s="18">
        <f t="shared" si="4"/>
        <v>0</v>
      </c>
      <c r="I20" s="14">
        <f t="shared" si="4"/>
        <v>0</v>
      </c>
      <c r="J20" s="2"/>
      <c r="K20" s="40" t="s">
        <v>26</v>
      </c>
      <c r="L20" s="40"/>
      <c r="M20" s="40"/>
      <c r="N20" s="40"/>
      <c r="O20" s="40"/>
      <c r="P20" s="40"/>
      <c r="Q20" s="40"/>
    </row>
    <row r="21" spans="1:1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19" t="s">
        <v>0</v>
      </c>
      <c r="L21">
        <f>Data!F14</f>
        <v>0.1</v>
      </c>
      <c r="M21">
        <f>Data!G14</f>
        <v>0.1</v>
      </c>
      <c r="N21">
        <f>Data!H14</f>
        <v>0.1</v>
      </c>
      <c r="O21">
        <f>Data!I14</f>
        <v>0.1</v>
      </c>
      <c r="P21">
        <f>Data!J14</f>
        <v>0.1</v>
      </c>
      <c r="Q21">
        <f>Data!K14</f>
        <v>0.1</v>
      </c>
    </row>
    <row r="22" spans="1:17" x14ac:dyDescent="0.25">
      <c r="C22" s="2"/>
      <c r="D22" s="2"/>
      <c r="E22" s="2"/>
      <c r="F22" s="2"/>
      <c r="G22" s="2"/>
      <c r="H22" s="2"/>
      <c r="I22" s="2"/>
      <c r="K22" s="20" t="s">
        <v>1</v>
      </c>
      <c r="L22">
        <f t="shared" ref="L22:Q22" si="5">D18</f>
        <v>0</v>
      </c>
      <c r="M22">
        <f t="shared" si="5"/>
        <v>0.16666666666666666</v>
      </c>
      <c r="N22">
        <f t="shared" si="5"/>
        <v>0</v>
      </c>
      <c r="O22">
        <f t="shared" si="5"/>
        <v>0.16666666666666666</v>
      </c>
      <c r="P22">
        <f t="shared" si="5"/>
        <v>0</v>
      </c>
      <c r="Q22">
        <f t="shared" si="5"/>
        <v>0.16666666666666666</v>
      </c>
    </row>
    <row r="37" spans="11:17" x14ac:dyDescent="0.25">
      <c r="K37" s="40" t="s">
        <v>32</v>
      </c>
      <c r="L37" s="40"/>
      <c r="M37" s="40"/>
      <c r="N37" s="40"/>
      <c r="O37" s="40"/>
      <c r="P37" s="40"/>
      <c r="Q37" s="40"/>
    </row>
    <row r="38" spans="11:17" x14ac:dyDescent="0.25">
      <c r="K38" s="19" t="s">
        <v>0</v>
      </c>
      <c r="L38">
        <f>D7</f>
        <v>9</v>
      </c>
      <c r="M38">
        <f t="shared" ref="M38:Q38" si="6">E7</f>
        <v>6</v>
      </c>
      <c r="N38">
        <f t="shared" si="6"/>
        <v>9</v>
      </c>
      <c r="O38">
        <f t="shared" si="6"/>
        <v>6</v>
      </c>
      <c r="P38">
        <f t="shared" si="6"/>
        <v>9</v>
      </c>
      <c r="Q38">
        <f t="shared" si="6"/>
        <v>6</v>
      </c>
    </row>
    <row r="39" spans="11:17" x14ac:dyDescent="0.25">
      <c r="K39" s="20" t="s">
        <v>1</v>
      </c>
      <c r="L39">
        <f>D13</f>
        <v>9</v>
      </c>
      <c r="M39">
        <f t="shared" ref="M39:Q39" si="7">E13</f>
        <v>6</v>
      </c>
      <c r="N39">
        <f t="shared" si="7"/>
        <v>9</v>
      </c>
      <c r="O39">
        <f t="shared" si="7"/>
        <v>6</v>
      </c>
      <c r="P39">
        <f t="shared" si="7"/>
        <v>9</v>
      </c>
      <c r="Q39">
        <f t="shared" si="7"/>
        <v>6</v>
      </c>
    </row>
    <row r="55" spans="11:17" x14ac:dyDescent="0.25">
      <c r="K55" s="40" t="s">
        <v>33</v>
      </c>
      <c r="L55" s="40"/>
      <c r="M55" s="40"/>
      <c r="N55" s="40"/>
      <c r="O55" s="40"/>
      <c r="P55" s="40"/>
      <c r="Q55" s="40"/>
    </row>
    <row r="56" spans="11:17" x14ac:dyDescent="0.25">
      <c r="K56" s="19" t="s">
        <v>0</v>
      </c>
      <c r="L56">
        <f>D8</f>
        <v>90</v>
      </c>
      <c r="M56">
        <f t="shared" ref="M56:Q56" si="8">E8</f>
        <v>60</v>
      </c>
      <c r="N56">
        <f t="shared" si="8"/>
        <v>90</v>
      </c>
      <c r="O56">
        <f t="shared" si="8"/>
        <v>60</v>
      </c>
      <c r="P56">
        <f t="shared" si="8"/>
        <v>90</v>
      </c>
      <c r="Q56">
        <f t="shared" si="8"/>
        <v>60</v>
      </c>
    </row>
    <row r="57" spans="11:17" x14ac:dyDescent="0.25">
      <c r="K57" s="20" t="s">
        <v>1</v>
      </c>
      <c r="L57">
        <f>D12</f>
        <v>90</v>
      </c>
      <c r="M57">
        <f t="shared" ref="M57:Q57" si="9">E12</f>
        <v>60</v>
      </c>
      <c r="N57">
        <f t="shared" si="9"/>
        <v>90</v>
      </c>
      <c r="O57">
        <f t="shared" si="9"/>
        <v>60</v>
      </c>
      <c r="P57">
        <f t="shared" si="9"/>
        <v>90</v>
      </c>
      <c r="Q57">
        <f t="shared" si="9"/>
        <v>60</v>
      </c>
    </row>
    <row r="72" spans="11:17" x14ac:dyDescent="0.25">
      <c r="K72" s="40" t="s">
        <v>34</v>
      </c>
      <c r="L72" s="40"/>
      <c r="M72" s="40"/>
      <c r="N72" s="40"/>
      <c r="O72" s="40"/>
      <c r="P72" s="40"/>
      <c r="Q72" s="40"/>
    </row>
    <row r="73" spans="11:17" x14ac:dyDescent="0.25">
      <c r="K73" s="19" t="s">
        <v>0</v>
      </c>
      <c r="L73">
        <f>Data!F15</f>
        <v>0.8</v>
      </c>
      <c r="M73">
        <f>Data!G15</f>
        <v>0.8</v>
      </c>
      <c r="N73">
        <f>Data!H15</f>
        <v>0.8</v>
      </c>
      <c r="O73">
        <f>Data!I15</f>
        <v>0.8</v>
      </c>
      <c r="P73">
        <f>Data!J15</f>
        <v>0.8</v>
      </c>
      <c r="Q73">
        <f>Data!K15</f>
        <v>0.8</v>
      </c>
    </row>
    <row r="74" spans="11:17" x14ac:dyDescent="0.25">
      <c r="K74" s="20" t="s">
        <v>1</v>
      </c>
      <c r="L74">
        <f t="shared" ref="L74:Q74" si="10">D14</f>
        <v>0.9</v>
      </c>
      <c r="M74">
        <f t="shared" si="10"/>
        <v>0</v>
      </c>
      <c r="N74">
        <f t="shared" si="10"/>
        <v>1</v>
      </c>
      <c r="O74">
        <f t="shared" si="10"/>
        <v>0</v>
      </c>
      <c r="P74">
        <f t="shared" si="10"/>
        <v>0.7</v>
      </c>
      <c r="Q74">
        <f t="shared" si="10"/>
        <v>0</v>
      </c>
    </row>
    <row r="80" spans="11:17" x14ac:dyDescent="0.25">
      <c r="K80" s="40"/>
      <c r="L80" s="40"/>
      <c r="M80" s="40"/>
      <c r="N80" s="40"/>
      <c r="O80" s="40"/>
      <c r="P80" s="40"/>
      <c r="Q80" s="40"/>
    </row>
    <row r="99" spans="11:17" x14ac:dyDescent="0.25">
      <c r="K99" s="40"/>
      <c r="L99" s="40"/>
      <c r="M99" s="40"/>
      <c r="N99" s="40"/>
      <c r="O99" s="40"/>
      <c r="P99" s="40"/>
      <c r="Q99" s="40"/>
    </row>
  </sheetData>
  <mergeCells count="12">
    <mergeCell ref="K99:Q99"/>
    <mergeCell ref="K80:Q80"/>
    <mergeCell ref="B3:B4"/>
    <mergeCell ref="C3:C4"/>
    <mergeCell ref="B7:B8"/>
    <mergeCell ref="B11:B14"/>
    <mergeCell ref="B17:B20"/>
    <mergeCell ref="K2:Q2"/>
    <mergeCell ref="K20:Q20"/>
    <mergeCell ref="K55:Q55"/>
    <mergeCell ref="K37:Q37"/>
    <mergeCell ref="K72:Q72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1"/>
  <sheetViews>
    <sheetView workbookViewId="0">
      <selection activeCell="A6" sqref="A6"/>
    </sheetView>
  </sheetViews>
  <sheetFormatPr defaultRowHeight="15" x14ac:dyDescent="0.25"/>
  <cols>
    <col min="1" max="1" width="9.140625" style="33"/>
    <col min="4" max="4" width="10" bestFit="1" customWidth="1"/>
    <col min="5" max="5" width="11.5703125" bestFit="1" customWidth="1"/>
    <col min="6" max="6" width="9.85546875" bestFit="1" customWidth="1"/>
    <col min="7" max="7" width="15.7109375" bestFit="1" customWidth="1"/>
    <col min="8" max="8" width="80.28515625" bestFit="1" customWidth="1"/>
  </cols>
  <sheetData>
    <row r="4" spans="1:8" x14ac:dyDescent="0.25">
      <c r="A4" s="33" t="s">
        <v>18</v>
      </c>
      <c r="B4" t="s">
        <v>48</v>
      </c>
      <c r="C4" t="s">
        <v>44</v>
      </c>
      <c r="D4" t="s">
        <v>45</v>
      </c>
      <c r="E4" t="s">
        <v>46</v>
      </c>
      <c r="F4" t="s">
        <v>47</v>
      </c>
      <c r="G4" t="s">
        <v>50</v>
      </c>
      <c r="H4" t="s">
        <v>54</v>
      </c>
    </row>
    <row r="5" spans="1:8" x14ac:dyDescent="0.25">
      <c r="A5" s="33">
        <v>1</v>
      </c>
      <c r="B5" t="s">
        <v>49</v>
      </c>
    </row>
    <row r="6" spans="1:8" x14ac:dyDescent="0.25">
      <c r="A6" s="33">
        <v>1</v>
      </c>
      <c r="D6">
        <v>487</v>
      </c>
      <c r="G6" t="s">
        <v>51</v>
      </c>
      <c r="H6" t="s">
        <v>55</v>
      </c>
    </row>
    <row r="7" spans="1:8" x14ac:dyDescent="0.25">
      <c r="A7" s="33">
        <v>1</v>
      </c>
      <c r="D7">
        <v>488</v>
      </c>
      <c r="G7" t="s">
        <v>51</v>
      </c>
    </row>
    <row r="8" spans="1:8" x14ac:dyDescent="0.25">
      <c r="A8" s="33">
        <v>1</v>
      </c>
      <c r="D8">
        <v>489</v>
      </c>
      <c r="G8" t="s">
        <v>52</v>
      </c>
    </row>
    <row r="9" spans="1:8" x14ac:dyDescent="0.25">
      <c r="A9" s="33">
        <v>1</v>
      </c>
      <c r="D9">
        <v>490</v>
      </c>
      <c r="G9" t="s">
        <v>52</v>
      </c>
    </row>
    <row r="10" spans="1:8" x14ac:dyDescent="0.25">
      <c r="A10" s="33">
        <v>1</v>
      </c>
      <c r="D10">
        <v>491</v>
      </c>
      <c r="G10" t="s">
        <v>53</v>
      </c>
    </row>
    <row r="11" spans="1:8" x14ac:dyDescent="0.25">
      <c r="D11">
        <v>492</v>
      </c>
      <c r="G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BuHu</vt:lpstr>
      <vt:lpstr>Jira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Vohra, Neeraj</dc:creator>
  <cp:lastModifiedBy>Neeraj Vohra</cp:lastModifiedBy>
  <dcterms:created xsi:type="dcterms:W3CDTF">2015-12-18T06:57:27Z</dcterms:created>
  <dcterms:modified xsi:type="dcterms:W3CDTF">2019-07-03T05:19:53Z</dcterms:modified>
</cp:coreProperties>
</file>