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eraj\StudyDocument\Agile\"/>
    </mc:Choice>
  </mc:AlternateContent>
  <bookViews>
    <workbookView xWindow="0" yWindow="0" windowWidth="20490" windowHeight="7755" activeTab="3"/>
  </bookViews>
  <sheets>
    <sheet name="Data" sheetId="14" r:id="rId1"/>
    <sheet name="BuHu" sheetId="16" r:id="rId2"/>
    <sheet name="Capacity Planning" sheetId="19" r:id="rId3"/>
    <sheet name="Sheet1" sheetId="18" r:id="rId4"/>
  </sheets>
  <calcPr calcId="152511"/>
</workbook>
</file>

<file path=xl/calcChain.xml><?xml version="1.0" encoding="utf-8"?>
<calcChain xmlns="http://schemas.openxmlformats.org/spreadsheetml/2006/main">
  <c r="F13" i="19" l="1"/>
  <c r="E13" i="19"/>
  <c r="H8" i="19"/>
  <c r="I8" i="19" s="1"/>
  <c r="J8" i="19" s="1"/>
  <c r="K8" i="19" s="1"/>
  <c r="G7" i="19"/>
  <c r="G6" i="19"/>
  <c r="H6" i="19" s="1"/>
  <c r="I6" i="19" s="1"/>
  <c r="J6" i="19" s="1"/>
  <c r="K6" i="19" s="1"/>
  <c r="G5" i="19"/>
  <c r="H5" i="19" s="1"/>
  <c r="G4" i="19"/>
  <c r="H3" i="19"/>
  <c r="I3" i="19" s="1"/>
  <c r="J3" i="19" s="1"/>
  <c r="K3" i="19" s="1"/>
  <c r="G3" i="19"/>
  <c r="H2" i="19"/>
  <c r="G2" i="19"/>
  <c r="G13" i="19" s="1"/>
  <c r="I5" i="19" l="1"/>
  <c r="J5" i="19" s="1"/>
  <c r="K5" i="19" s="1"/>
  <c r="I2" i="19"/>
  <c r="H7" i="19"/>
  <c r="I7" i="19" s="1"/>
  <c r="J7" i="19" s="1"/>
  <c r="K7" i="19" s="1"/>
  <c r="H4" i="19"/>
  <c r="I4" i="19" s="1"/>
  <c r="J4" i="19" s="1"/>
  <c r="K4" i="19" s="1"/>
  <c r="M95" i="16"/>
  <c r="N95" i="16"/>
  <c r="O95" i="16"/>
  <c r="P95" i="16"/>
  <c r="Q95" i="16"/>
  <c r="L95" i="16"/>
  <c r="M94" i="16"/>
  <c r="N94" i="16"/>
  <c r="O94" i="16"/>
  <c r="P94" i="16"/>
  <c r="Q94" i="16"/>
  <c r="L94" i="16"/>
  <c r="M60" i="16"/>
  <c r="N60" i="16"/>
  <c r="O60" i="16"/>
  <c r="P60" i="16"/>
  <c r="Q60" i="16"/>
  <c r="L60" i="16"/>
  <c r="M42" i="16"/>
  <c r="N42" i="16"/>
  <c r="O42" i="16"/>
  <c r="P42" i="16"/>
  <c r="Q42" i="16"/>
  <c r="L42" i="16"/>
  <c r="M59" i="16"/>
  <c r="N59" i="16"/>
  <c r="O59" i="16"/>
  <c r="P59" i="16"/>
  <c r="Q59" i="16"/>
  <c r="L59" i="16"/>
  <c r="M41" i="16"/>
  <c r="N41" i="16"/>
  <c r="O41" i="16"/>
  <c r="P41" i="16"/>
  <c r="Q41" i="16"/>
  <c r="L41" i="16"/>
  <c r="M4" i="16"/>
  <c r="N4" i="16"/>
  <c r="O4" i="16"/>
  <c r="P4" i="16"/>
  <c r="Q4" i="16"/>
  <c r="L4" i="16"/>
  <c r="M25" i="16"/>
  <c r="N25" i="16"/>
  <c r="O25" i="16"/>
  <c r="P25" i="16"/>
  <c r="Q25" i="16"/>
  <c r="L25" i="16"/>
  <c r="E20" i="16"/>
  <c r="F20" i="16"/>
  <c r="G20" i="16"/>
  <c r="H20" i="16"/>
  <c r="I20" i="16"/>
  <c r="D20" i="16"/>
  <c r="M24" i="16"/>
  <c r="N24" i="16"/>
  <c r="O24" i="16"/>
  <c r="P24" i="16"/>
  <c r="Q24" i="16"/>
  <c r="L24" i="16"/>
  <c r="E23" i="16"/>
  <c r="F23" i="16"/>
  <c r="G23" i="16"/>
  <c r="H23" i="16"/>
  <c r="I23" i="16"/>
  <c r="D23" i="16"/>
  <c r="E22" i="16"/>
  <c r="F22" i="16"/>
  <c r="G22" i="16"/>
  <c r="H22" i="16"/>
  <c r="I22" i="16"/>
  <c r="D22" i="16"/>
  <c r="E21" i="16"/>
  <c r="F21" i="16"/>
  <c r="G21" i="16"/>
  <c r="H21" i="16"/>
  <c r="I21" i="16"/>
  <c r="D21" i="16"/>
  <c r="D8" i="16"/>
  <c r="E19" i="16"/>
  <c r="F19" i="16"/>
  <c r="G19" i="16"/>
  <c r="H19" i="16"/>
  <c r="I19" i="16"/>
  <c r="D19" i="16"/>
  <c r="I13" i="19" l="1"/>
  <c r="J2" i="19"/>
  <c r="H13" i="19"/>
  <c r="D15" i="16"/>
  <c r="L77" i="16" s="1"/>
  <c r="D14" i="16"/>
  <c r="D7" i="16"/>
  <c r="F15" i="16"/>
  <c r="H15" i="16"/>
  <c r="P77" i="16" s="1"/>
  <c r="K9" i="14"/>
  <c r="I15" i="16" s="1"/>
  <c r="Q77" i="16" s="1"/>
  <c r="I9" i="14"/>
  <c r="G15" i="16" s="1"/>
  <c r="O77" i="16" s="1"/>
  <c r="G9" i="14"/>
  <c r="E15" i="16" s="1"/>
  <c r="M77" i="16" s="1"/>
  <c r="G8" i="14"/>
  <c r="H8" i="14"/>
  <c r="I8" i="14"/>
  <c r="J8" i="14"/>
  <c r="K8" i="14"/>
  <c r="F8" i="14"/>
  <c r="M3" i="16"/>
  <c r="N3" i="16"/>
  <c r="O3" i="16"/>
  <c r="P3" i="16"/>
  <c r="Q3" i="16"/>
  <c r="L3" i="16"/>
  <c r="N77" i="16"/>
  <c r="M76" i="16"/>
  <c r="N76" i="16"/>
  <c r="O76" i="16"/>
  <c r="P76" i="16"/>
  <c r="Q76" i="16"/>
  <c r="L76" i="16"/>
  <c r="J13" i="19" l="1"/>
  <c r="K2" i="19"/>
  <c r="K13" i="19" s="1"/>
  <c r="E8" i="16"/>
  <c r="F8" i="16"/>
  <c r="G8" i="16"/>
  <c r="H8" i="16"/>
  <c r="I8" i="16"/>
  <c r="E14" i="16" l="1"/>
  <c r="F14" i="16"/>
  <c r="G14" i="16"/>
  <c r="H14" i="16"/>
  <c r="I14" i="16"/>
  <c r="E13" i="16"/>
  <c r="F13" i="16"/>
  <c r="G13" i="16"/>
  <c r="H13" i="16"/>
  <c r="I13" i="16"/>
  <c r="D13" i="16"/>
</calcChain>
</file>

<file path=xl/comments1.xml><?xml version="1.0" encoding="utf-8"?>
<comments xmlns="http://schemas.openxmlformats.org/spreadsheetml/2006/main">
  <authors>
    <author>Vohra, Neeraj</author>
  </authors>
  <commentList>
    <comment ref="M4" authorId="0" shapeId="0">
      <text>
        <r>
          <rPr>
            <b/>
            <sz val="9"/>
            <color indexed="81"/>
            <rFont val="Tahoma"/>
            <family val="2"/>
          </rPr>
          <t>Vohra, Neeraj:</t>
        </r>
        <r>
          <rPr>
            <sz val="9"/>
            <color indexed="81"/>
            <rFont val="Tahoma"/>
            <family val="2"/>
          </rPr>
          <t xml:space="preserve">
Total PSI Velocity Inclluding Maintenance</t>
        </r>
      </text>
    </comment>
  </commentList>
</comments>
</file>

<file path=xl/sharedStrings.xml><?xml version="1.0" encoding="utf-8"?>
<sst xmlns="http://schemas.openxmlformats.org/spreadsheetml/2006/main" count="98" uniqueCount="71">
  <si>
    <t>Planned</t>
  </si>
  <si>
    <t>Actual</t>
  </si>
  <si>
    <t>Story Points</t>
  </si>
  <si>
    <t>Defects</t>
  </si>
  <si>
    <t>Found</t>
  </si>
  <si>
    <t>Valid</t>
  </si>
  <si>
    <t>Hours</t>
  </si>
  <si>
    <t>Task-Estimated</t>
  </si>
  <si>
    <t>Task-Actual</t>
  </si>
  <si>
    <t>Activity</t>
  </si>
  <si>
    <t>Sprint Execution</t>
  </si>
  <si>
    <t>Inspect and Adapt</t>
  </si>
  <si>
    <t>PSI Planning</t>
  </si>
  <si>
    <t>Phase</t>
  </si>
  <si>
    <t>6 hrs per day team productivity</t>
  </si>
  <si>
    <t>10  hrs per User Story points</t>
  </si>
  <si>
    <t>Week</t>
  </si>
  <si>
    <t>Planned USP</t>
  </si>
  <si>
    <t>Actual USP</t>
  </si>
  <si>
    <t>Internal Defect Density(Valid defects/Actual USP)</t>
  </si>
  <si>
    <t>Team Productivity( Actual Hrs/US completed)</t>
  </si>
  <si>
    <t>Code Coverage</t>
  </si>
  <si>
    <t>Productivity Efforts (Planned Hrs- Actual Hrs)</t>
  </si>
  <si>
    <t>Code Coverage 80%</t>
  </si>
  <si>
    <t>Schedule Slipage( actual USP-planned USP)</t>
  </si>
  <si>
    <t>Productivity Efforts( planned hrs-actual hrs)</t>
  </si>
  <si>
    <t>Sonar Code Coverage( actual-planned)</t>
  </si>
  <si>
    <r>
      <t xml:space="preserve">Planned </t>
    </r>
    <r>
      <rPr>
        <b/>
        <i/>
        <sz val="11"/>
        <color theme="1"/>
        <rFont val="Calibri"/>
        <family val="2"/>
        <scheme val="minor"/>
      </rPr>
      <t>USP</t>
    </r>
    <r>
      <rPr>
        <sz val="11"/>
        <color theme="1"/>
        <rFont val="Calibri"/>
        <family val="2"/>
        <scheme val="minor"/>
      </rPr>
      <t xml:space="preserve"> at the start of the Week</t>
    </r>
  </si>
  <si>
    <r>
      <t xml:space="preserve">Planned </t>
    </r>
    <r>
      <rPr>
        <b/>
        <i/>
        <sz val="11"/>
        <color theme="1"/>
        <rFont val="Calibri"/>
        <family val="2"/>
        <scheme val="minor"/>
      </rPr>
      <t>Hrs</t>
    </r>
    <r>
      <rPr>
        <sz val="11"/>
        <color theme="1"/>
        <rFont val="Calibri"/>
        <family val="2"/>
        <scheme val="minor"/>
      </rPr>
      <t xml:space="preserve"> at the start of the Week</t>
    </r>
  </si>
  <si>
    <t>Total Number Of Valid defects in Week</t>
  </si>
  <si>
    <r>
      <t xml:space="preserve">Actual  </t>
    </r>
    <r>
      <rPr>
        <b/>
        <i/>
        <sz val="11"/>
        <color theme="1"/>
        <rFont val="Calibri"/>
        <family val="2"/>
        <scheme val="minor"/>
      </rPr>
      <t>Hrs</t>
    </r>
    <r>
      <rPr>
        <sz val="11"/>
        <color theme="1"/>
        <rFont val="Calibri"/>
        <family val="2"/>
        <scheme val="minor"/>
      </rPr>
      <t xml:space="preserve"> at the end of the Week</t>
    </r>
  </si>
  <si>
    <r>
      <t xml:space="preserve">Actual  </t>
    </r>
    <r>
      <rPr>
        <b/>
        <i/>
        <sz val="11"/>
        <color theme="1"/>
        <rFont val="Calibri"/>
        <family val="2"/>
        <scheme val="minor"/>
      </rPr>
      <t>USP</t>
    </r>
    <r>
      <rPr>
        <sz val="11"/>
        <color theme="1"/>
        <rFont val="Calibri"/>
        <family val="2"/>
        <scheme val="minor"/>
      </rPr>
      <t xml:space="preserve">  completedat the end of the Week</t>
    </r>
  </si>
  <si>
    <t xml:space="preserve">Planned </t>
  </si>
  <si>
    <t xml:space="preserve">Actual </t>
  </si>
  <si>
    <t>DBS</t>
  </si>
  <si>
    <t>Master Data- Baseline</t>
  </si>
  <si>
    <t>Velocity- How much value we deliver per sprint?</t>
  </si>
  <si>
    <t>Capacity- How much efforts can we expend in a Sprint?</t>
  </si>
  <si>
    <t>Focus Factor- What percentage of our efforts becomes values?</t>
  </si>
  <si>
    <t xml:space="preserve">Productive Hours? </t>
  </si>
  <si>
    <t>Estimated Accuracy?</t>
  </si>
  <si>
    <t>Forecast Accuracy?</t>
  </si>
  <si>
    <t>Velocity Increase?</t>
  </si>
  <si>
    <t>Capacity</t>
  </si>
  <si>
    <t>Available</t>
  </si>
  <si>
    <t>Consumed</t>
  </si>
  <si>
    <t>Schedule Variance(actualUSP-planned USP)</t>
  </si>
  <si>
    <t>Internal Defect Density( Valid Defect/US Completed)</t>
  </si>
  <si>
    <t>Idle capacity at the start of the week</t>
  </si>
  <si>
    <t>Productivity(Actual hrs/Actual USP)</t>
  </si>
  <si>
    <t>Efforts Utilization(Actual Hours/Idle Capacity)</t>
  </si>
  <si>
    <t>Actual Code Coverage (Sonar)</t>
  </si>
  <si>
    <t>Consultant Name</t>
  </si>
  <si>
    <t>Role</t>
  </si>
  <si>
    <t>% Allocation</t>
  </si>
  <si>
    <t>Business Hours/Day</t>
  </si>
  <si>
    <t>Sprint Duration</t>
  </si>
  <si>
    <t>Holiday/Leave</t>
  </si>
  <si>
    <t>Available Hours/Sprint</t>
  </si>
  <si>
    <t>Ceremonies Time(7%)</t>
  </si>
  <si>
    <t>Available  Hours (after ceremonies)</t>
  </si>
  <si>
    <t>Idle Hours 80%</t>
  </si>
  <si>
    <t>Idle Number Of Days</t>
  </si>
  <si>
    <t>Dev1</t>
  </si>
  <si>
    <t>Dev</t>
  </si>
  <si>
    <t>Dev2</t>
  </si>
  <si>
    <t>Dev3</t>
  </si>
  <si>
    <t>Dev4</t>
  </si>
  <si>
    <t>PO</t>
  </si>
  <si>
    <t>SM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</si>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</sst>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rgb="FF002060"/>
      <name val="Calibri"/>
      <family val="2"/>
      <scheme val="minor"/>
    </font>
    <font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0" fillId="3" borderId="0" xfId="0" applyFont="1" applyFill="1" applyBorder="1"/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/>
    <xf numFmtId="0" fontId="1" fillId="0" borderId="5" xfId="0" applyFont="1" applyBorder="1" applyAlignment="1">
      <alignment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0" fillId="2" borderId="0" xfId="0" applyFont="1" applyFill="1" applyBorder="1" applyAlignment="1">
      <alignment horizontal="center"/>
    </xf>
    <xf numFmtId="0" fontId="0" fillId="2" borderId="8" xfId="0" applyFill="1" applyBorder="1" applyAlignment="1">
      <alignment vertical="center"/>
    </xf>
    <xf numFmtId="0" fontId="0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ill="1" applyBorder="1"/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readingOrder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0" xfId="0" applyFill="1" applyBorder="1"/>
    <xf numFmtId="0" fontId="0" fillId="0" borderId="8" xfId="0" applyFill="1" applyBorder="1"/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top" wrapText="1"/>
    </xf>
    <xf numFmtId="0" fontId="5" fillId="4" borderId="13" xfId="0" applyFont="1" applyFill="1" applyBorder="1" applyAlignment="1">
      <alignment horizontal="center" vertical="top" wrapText="1"/>
    </xf>
    <xf numFmtId="0" fontId="5" fillId="4" borderId="14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Productivity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BuHu!$K$3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BuHu!$L$3:$Q$3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C0-4763-9CF7-F782AB199D0E}"/>
            </c:ext>
          </c:extLst>
        </c:ser>
        <c:ser>
          <c:idx val="1"/>
          <c:order val="1"/>
          <c:tx>
            <c:strRef>
              <c:f>BuHu!$K$4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BuHu!$L$4:$Q$4</c:f>
              <c:numCache>
                <c:formatCode>General</c:formatCode>
                <c:ptCount val="6"/>
                <c:pt idx="0">
                  <c:v>10</c:v>
                </c:pt>
                <c:pt idx="1">
                  <c:v>6.666666666666667</c:v>
                </c:pt>
                <c:pt idx="2">
                  <c:v>10</c:v>
                </c:pt>
                <c:pt idx="3">
                  <c:v>6.666666666666667</c:v>
                </c:pt>
                <c:pt idx="4">
                  <c:v>10</c:v>
                </c:pt>
                <c:pt idx="5">
                  <c:v>6.666666666666667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C0-4763-9CF7-F782AB199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169024"/>
        <c:axId val="221172944"/>
      </c:barChart>
      <c:catAx>
        <c:axId val="221169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2944"/>
        <c:crosses val="autoZero"/>
        <c:auto val="1"/>
        <c:lblAlgn val="ctr"/>
        <c:lblOffset val="100"/>
        <c:noMultiLvlLbl val="0"/>
      </c:catAx>
      <c:valAx>
        <c:axId val="2211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BuHu!$K$24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BuHu!$L$24:$Q$24</c:f>
              <c:numCache>
                <c:formatCode>General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95-4A29-B84E-38E9D0E264D9}"/>
            </c:ext>
          </c:extLst>
        </c:ser>
        <c:ser>
          <c:idx val="1"/>
          <c:order val="1"/>
          <c:tx>
            <c:strRef>
              <c:f>BuHu!$K$25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BuHu!$L$25:$Q$25</c:f>
              <c:numCache>
                <c:formatCode>General</c:formatCode>
                <c:ptCount val="6"/>
                <c:pt idx="0">
                  <c:v>1</c:v>
                </c:pt>
                <c:pt idx="1">
                  <c:v>0.66666666666666663</c:v>
                </c:pt>
                <c:pt idx="2">
                  <c:v>1</c:v>
                </c:pt>
                <c:pt idx="3">
                  <c:v>0.66666666666666663</c:v>
                </c:pt>
                <c:pt idx="4">
                  <c:v>1</c:v>
                </c:pt>
                <c:pt idx="5">
                  <c:v>0.66666666666666663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495-4A29-B84E-38E9D0E2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173336"/>
        <c:axId val="221169416"/>
      </c:barChart>
      <c:catAx>
        <c:axId val="221173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69416"/>
        <c:crosses val="autoZero"/>
        <c:auto val="1"/>
        <c:lblAlgn val="ctr"/>
        <c:lblOffset val="100"/>
        <c:noMultiLvlLbl val="0"/>
      </c:catAx>
      <c:valAx>
        <c:axId val="22116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Schedule Slipage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BuHu!$K$41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BuHu!$L$41:$R$41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64-440E-9D74-55EA641D9037}"/>
            </c:ext>
          </c:extLst>
        </c:ser>
        <c:ser>
          <c:idx val="1"/>
          <c:order val="1"/>
          <c:tx>
            <c:strRef>
              <c:f>BuHu!$K$42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BuHu!$L$42:$R$42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64-440E-9D74-55EA641D9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174904"/>
        <c:axId val="221175296"/>
      </c:barChart>
      <c:catAx>
        <c:axId val="221174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5296"/>
        <c:crosses val="autoZero"/>
        <c:auto val="1"/>
        <c:lblAlgn val="ctr"/>
        <c:lblOffset val="100"/>
        <c:noMultiLvlLbl val="0"/>
      </c:catAx>
      <c:valAx>
        <c:axId val="2211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17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Sonar Code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BuHu!$K$76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BuHu!$L$76:$Q$76</c:f>
              <c:numCache>
                <c:formatCode>General</c:formatCode>
                <c:ptCount val="6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8D-4DCB-993C-0A388248C86E}"/>
            </c:ext>
          </c:extLst>
        </c:ser>
        <c:ser>
          <c:idx val="1"/>
          <c:order val="1"/>
          <c:tx>
            <c:strRef>
              <c:f>BuHu!$K$77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BuHu!$L$77:$Q$77</c:f>
              <c:numCache>
                <c:formatCode>General</c:formatCode>
                <c:ptCount val="6"/>
                <c:pt idx="0">
                  <c:v>0.9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0.7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18D-4DCB-993C-0A388248C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605456"/>
        <c:axId val="311605064"/>
      </c:barChart>
      <c:catAx>
        <c:axId val="311605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5064"/>
        <c:crosses val="autoZero"/>
        <c:auto val="1"/>
        <c:lblAlgn val="ctr"/>
        <c:lblOffset val="100"/>
        <c:noMultiLvlLbl val="0"/>
      </c:catAx>
      <c:valAx>
        <c:axId val="31160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Productivity</a:t>
            </a:r>
            <a:r>
              <a:rPr lang="en-IN" baseline="0"/>
              <a:t> Efforts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BuHu!$K$59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BuHu!$L$59:$Q$59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C0-46FD-ACB7-0F49CDC7FA19}"/>
            </c:ext>
          </c:extLst>
        </c:ser>
        <c:ser>
          <c:idx val="1"/>
          <c:order val="1"/>
          <c:tx>
            <c:strRef>
              <c:f>BuHu!$K$60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BuHu!$L$60:$Q$60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C0-46FD-ACB7-0F49CDC7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601536"/>
        <c:axId val="311602320"/>
      </c:barChart>
      <c:catAx>
        <c:axId val="311601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2320"/>
        <c:crosses val="autoZero"/>
        <c:auto val="1"/>
        <c:lblAlgn val="ctr"/>
        <c:lblOffset val="100"/>
        <c:noMultiLvlLbl val="0"/>
      </c:catAx>
      <c:valAx>
        <c:axId val="31160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60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133349</xdr:colOff>
      <xdr:row>6</xdr:row>
      <xdr:rowOff>85726</xdr:rowOff>
    </xdr:from>
    <xdr:to>
      <xdr:col>17</xdr:col>
      <xdr:colOff>133349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27</xdr:row>
      <xdr:rowOff>47625</xdr:rowOff>
    </xdr:from>
    <xdr:to>
      <xdr:col>17</xdr:col>
      <xdr:colOff>95250</xdr:colOff>
      <xdr:row>37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28574</xdr:colOff>
      <xdr:row>42</xdr:row>
      <xdr:rowOff>133350</xdr:rowOff>
    </xdr:from>
    <xdr:to>
      <xdr:col>17</xdr:col>
      <xdr:colOff>66674</xdr:colOff>
      <xdr:row>54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600074</xdr:colOff>
      <xdr:row>77</xdr:row>
      <xdr:rowOff>9525</xdr:rowOff>
    </xdr:from>
    <xdr:to>
      <xdr:col>17</xdr:col>
      <xdr:colOff>9524</xdr:colOff>
      <xdr:row>89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47624</xdr:colOff>
      <xdr:row>60</xdr:row>
      <xdr:rowOff>152400</xdr:rowOff>
    </xdr:from>
    <xdr:to>
      <xdr:col>17</xdr:col>
      <xdr:colOff>85724</xdr:colOff>
      <xdr:row>73</xdr:row>
      <xdr:rowOff>133350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S20"/>
  <sheetViews>
    <sheetView workbookViewId="0">
      <selection activeCell="D15" sqref="D15:D20"/>
    </sheetView>
  </sheetViews>
  <sheetFormatPr defaultRowHeight="15" x14ac:dyDescent="0.25"/>
  <cols>
    <col min="1" max="2" width="9.140625" style="3"/>
    <col min="3" max="3" width="5.7109375" style="3" bestFit="1" customWidth="1"/>
    <col min="4" max="4" width="45.85546875" style="4" bestFit="1" customWidth="1"/>
    <col min="5" max="5" width="15.85546875" style="3" bestFit="1" customWidth="1"/>
    <col min="6" max="11" width="7.140625" style="3" bestFit="1" customWidth="1"/>
    <col min="12" max="12" width="0.7109375" style="3" customWidth="1"/>
    <col min="13" max="13" width="72.42578125" style="3" bestFit="1" customWidth="1"/>
    <col min="14" max="14" width="12" style="3" bestFit="1" customWidth="1"/>
    <col min="15" max="15" width="17.28515625" style="3" customWidth="1"/>
    <col min="16" max="19" width="11.28515625" style="3" customWidth="1"/>
    <col min="20" max="16384" width="9.140625" style="3"/>
  </cols>
  <sheetData>
    <row r="2" spans="3:19" x14ac:dyDescent="0.25">
      <c r="C2" s="36" t="s">
        <v>34</v>
      </c>
      <c r="D2" s="35" t="s">
        <v>6</v>
      </c>
      <c r="E2" s="17" t="s">
        <v>7</v>
      </c>
      <c r="F2" s="18">
        <v>90</v>
      </c>
      <c r="G2" s="18">
        <v>60</v>
      </c>
      <c r="H2" s="18">
        <v>90</v>
      </c>
      <c r="I2" s="18">
        <v>60</v>
      </c>
      <c r="J2" s="18">
        <v>90</v>
      </c>
      <c r="K2" s="18">
        <v>60</v>
      </c>
      <c r="N2" s="5"/>
      <c r="O2" s="5"/>
      <c r="P2" s="5"/>
      <c r="Q2" s="5"/>
      <c r="R2" s="5"/>
      <c r="S2" s="5"/>
    </row>
    <row r="3" spans="3:19" x14ac:dyDescent="0.25">
      <c r="C3" s="37"/>
      <c r="D3" s="36"/>
      <c r="E3" s="19" t="s">
        <v>8</v>
      </c>
      <c r="F3" s="20">
        <v>90</v>
      </c>
      <c r="G3" s="20">
        <v>60</v>
      </c>
      <c r="H3" s="20">
        <v>90</v>
      </c>
      <c r="I3" s="20">
        <v>60</v>
      </c>
      <c r="J3" s="20">
        <v>90</v>
      </c>
      <c r="K3" s="20">
        <v>60</v>
      </c>
      <c r="N3" s="5"/>
      <c r="O3" s="5"/>
      <c r="P3" s="5"/>
      <c r="Q3" s="5"/>
      <c r="R3" s="5"/>
      <c r="S3" s="5"/>
    </row>
    <row r="4" spans="3:19" x14ac:dyDescent="0.25">
      <c r="C4" s="37"/>
      <c r="D4" s="35" t="s">
        <v>2</v>
      </c>
      <c r="E4" s="17" t="s">
        <v>17</v>
      </c>
      <c r="F4" s="18">
        <v>9</v>
      </c>
      <c r="G4" s="18">
        <v>6</v>
      </c>
      <c r="H4" s="18">
        <v>9</v>
      </c>
      <c r="I4" s="18">
        <v>6</v>
      </c>
      <c r="J4" s="18">
        <v>9</v>
      </c>
      <c r="K4" s="18">
        <v>6</v>
      </c>
    </row>
    <row r="5" spans="3:19" x14ac:dyDescent="0.25">
      <c r="C5" s="37"/>
      <c r="D5" s="36"/>
      <c r="E5" s="19" t="s">
        <v>18</v>
      </c>
      <c r="F5" s="20">
        <v>9</v>
      </c>
      <c r="G5" s="20">
        <v>6</v>
      </c>
      <c r="H5" s="20">
        <v>9</v>
      </c>
      <c r="I5" s="20">
        <v>6</v>
      </c>
      <c r="J5" s="20">
        <v>9</v>
      </c>
      <c r="K5" s="20">
        <v>6</v>
      </c>
    </row>
    <row r="6" spans="3:19" x14ac:dyDescent="0.25">
      <c r="C6" s="37"/>
      <c r="D6" s="35" t="s">
        <v>3</v>
      </c>
      <c r="E6" s="17" t="s">
        <v>5</v>
      </c>
      <c r="F6" s="18">
        <v>0</v>
      </c>
      <c r="G6" s="18">
        <v>1</v>
      </c>
      <c r="H6" s="18">
        <v>0</v>
      </c>
      <c r="I6" s="18">
        <v>1</v>
      </c>
      <c r="J6" s="18">
        <v>0</v>
      </c>
      <c r="K6" s="18">
        <v>1</v>
      </c>
    </row>
    <row r="7" spans="3:19" x14ac:dyDescent="0.25">
      <c r="C7" s="37"/>
      <c r="D7" s="36"/>
      <c r="E7" s="19" t="s">
        <v>4</v>
      </c>
      <c r="F7" s="20">
        <v>0</v>
      </c>
      <c r="G7" s="20">
        <v>1</v>
      </c>
      <c r="H7" s="20">
        <v>0</v>
      </c>
      <c r="I7" s="20">
        <v>1</v>
      </c>
      <c r="J7" s="20">
        <v>0</v>
      </c>
      <c r="K7" s="20">
        <v>1</v>
      </c>
      <c r="M7" s="6"/>
    </row>
    <row r="8" spans="3:19" x14ac:dyDescent="0.25">
      <c r="C8" s="37"/>
      <c r="D8" s="35" t="s">
        <v>21</v>
      </c>
      <c r="E8" s="17" t="s">
        <v>32</v>
      </c>
      <c r="F8" s="18">
        <f>F17</f>
        <v>0.8</v>
      </c>
      <c r="G8" s="18">
        <f t="shared" ref="G8:K8" si="0">G17</f>
        <v>0.8</v>
      </c>
      <c r="H8" s="18">
        <f t="shared" si="0"/>
        <v>0.8</v>
      </c>
      <c r="I8" s="18">
        <f t="shared" si="0"/>
        <v>0.8</v>
      </c>
      <c r="J8" s="18">
        <f t="shared" si="0"/>
        <v>0.8</v>
      </c>
      <c r="K8" s="18">
        <f t="shared" si="0"/>
        <v>0.8</v>
      </c>
      <c r="M8" s="6"/>
    </row>
    <row r="9" spans="3:19" x14ac:dyDescent="0.25">
      <c r="C9" s="37"/>
      <c r="D9" s="36"/>
      <c r="E9" s="19" t="s">
        <v>33</v>
      </c>
      <c r="F9" s="1">
        <v>0.9</v>
      </c>
      <c r="G9" s="1">
        <f>Data!I12</f>
        <v>0</v>
      </c>
      <c r="H9" s="1">
        <v>1</v>
      </c>
      <c r="I9" s="1">
        <f>Data!K12</f>
        <v>0</v>
      </c>
      <c r="J9" s="1">
        <v>0.7</v>
      </c>
      <c r="K9" s="10">
        <f>Data!M12</f>
        <v>0</v>
      </c>
      <c r="M9" s="6"/>
    </row>
    <row r="10" spans="3:19" x14ac:dyDescent="0.25">
      <c r="C10" s="37"/>
      <c r="D10" s="24" t="s">
        <v>43</v>
      </c>
      <c r="E10" s="17" t="s">
        <v>44</v>
      </c>
      <c r="F10" s="28"/>
      <c r="G10" s="28"/>
      <c r="H10" s="28"/>
      <c r="I10" s="28"/>
      <c r="J10" s="28"/>
      <c r="K10" s="28"/>
      <c r="M10" s="6"/>
    </row>
    <row r="11" spans="3:19" x14ac:dyDescent="0.25">
      <c r="C11" s="38"/>
      <c r="D11" s="24"/>
      <c r="E11" s="17" t="s">
        <v>45</v>
      </c>
      <c r="F11" s="28"/>
      <c r="G11" s="28"/>
      <c r="H11" s="28"/>
      <c r="I11" s="28"/>
      <c r="J11" s="28"/>
      <c r="K11" s="28"/>
      <c r="M11" s="6"/>
    </row>
    <row r="12" spans="3:19" x14ac:dyDescent="0.25">
      <c r="C12" s="14"/>
      <c r="E12" s="15"/>
      <c r="F12" s="16"/>
      <c r="G12" s="16"/>
      <c r="H12" s="16"/>
      <c r="I12" s="16"/>
      <c r="J12" s="16"/>
      <c r="K12" s="16"/>
      <c r="M12" s="6"/>
    </row>
    <row r="14" spans="3:19" x14ac:dyDescent="0.25">
      <c r="C14" s="34" t="s">
        <v>35</v>
      </c>
      <c r="D14" s="34"/>
      <c r="E14" s="34"/>
      <c r="F14" s="34"/>
      <c r="G14" s="34"/>
      <c r="H14" s="34"/>
      <c r="I14" s="34"/>
      <c r="J14" s="34"/>
      <c r="K14" s="34"/>
      <c r="N14" s="3" t="s">
        <v>15</v>
      </c>
    </row>
    <row r="15" spans="3:19" x14ac:dyDescent="0.25">
      <c r="C15" s="21"/>
      <c r="D15" s="24" t="s">
        <v>49</v>
      </c>
      <c r="E15" s="21"/>
      <c r="F15" s="18">
        <v>10</v>
      </c>
      <c r="G15" s="18">
        <v>10</v>
      </c>
      <c r="H15" s="18">
        <v>10</v>
      </c>
      <c r="I15" s="18">
        <v>10</v>
      </c>
      <c r="J15" s="23">
        <v>10</v>
      </c>
      <c r="K15" s="23">
        <v>10</v>
      </c>
      <c r="N15" s="3" t="s">
        <v>14</v>
      </c>
    </row>
    <row r="16" spans="3:19" x14ac:dyDescent="0.25">
      <c r="C16" s="21"/>
      <c r="D16" s="24" t="s">
        <v>19</v>
      </c>
      <c r="E16" s="21"/>
      <c r="F16" s="18">
        <v>0.1</v>
      </c>
      <c r="G16" s="18">
        <v>0.1</v>
      </c>
      <c r="H16" s="18">
        <v>0.1</v>
      </c>
      <c r="I16" s="18">
        <v>0.1</v>
      </c>
      <c r="J16" s="18">
        <v>0.1</v>
      </c>
      <c r="K16" s="18">
        <v>0.1</v>
      </c>
      <c r="N16" s="3" t="s">
        <v>23</v>
      </c>
    </row>
    <row r="17" spans="3:11" x14ac:dyDescent="0.25">
      <c r="C17" s="21"/>
      <c r="D17" s="24" t="s">
        <v>21</v>
      </c>
      <c r="E17" s="21"/>
      <c r="F17" s="18">
        <v>0.8</v>
      </c>
      <c r="G17" s="18">
        <v>0.8</v>
      </c>
      <c r="H17" s="18">
        <v>0.8</v>
      </c>
      <c r="I17" s="18">
        <v>0.8</v>
      </c>
      <c r="J17" s="18">
        <v>0.8</v>
      </c>
      <c r="K17" s="18">
        <v>0.8</v>
      </c>
    </row>
    <row r="18" spans="3:11" x14ac:dyDescent="0.25">
      <c r="C18" s="21"/>
      <c r="D18" s="24" t="s">
        <v>46</v>
      </c>
      <c r="E18" s="21"/>
      <c r="F18" s="18">
        <v>0</v>
      </c>
      <c r="G18" s="18">
        <v>0</v>
      </c>
      <c r="H18" s="18">
        <v>0</v>
      </c>
      <c r="I18" s="18">
        <v>0</v>
      </c>
      <c r="J18" s="23">
        <v>0</v>
      </c>
      <c r="K18" s="23">
        <v>0</v>
      </c>
    </row>
    <row r="19" spans="3:11" x14ac:dyDescent="0.25">
      <c r="C19" s="21"/>
      <c r="D19" s="24" t="s">
        <v>22</v>
      </c>
      <c r="E19" s="21"/>
      <c r="F19" s="18">
        <v>0</v>
      </c>
      <c r="G19" s="18">
        <v>0</v>
      </c>
      <c r="H19" s="18">
        <v>0</v>
      </c>
      <c r="I19" s="18">
        <v>0</v>
      </c>
      <c r="J19" s="23">
        <v>0</v>
      </c>
      <c r="K19" s="23">
        <v>0</v>
      </c>
    </row>
    <row r="20" spans="3:11" x14ac:dyDescent="0.25">
      <c r="C20" s="21"/>
      <c r="D20" s="24" t="s">
        <v>50</v>
      </c>
      <c r="E20" s="21"/>
      <c r="F20" s="23">
        <v>1</v>
      </c>
      <c r="G20" s="23">
        <v>1</v>
      </c>
      <c r="H20" s="23">
        <v>1</v>
      </c>
      <c r="I20" s="23">
        <v>1</v>
      </c>
      <c r="J20" s="23">
        <v>1</v>
      </c>
      <c r="K20" s="23">
        <v>1</v>
      </c>
    </row>
  </sheetData>
  <mergeCells count="6">
    <mergeCell ref="C14:K14"/>
    <mergeCell ref="D2:D3"/>
    <mergeCell ref="D6:D7"/>
    <mergeCell ref="D8:D9"/>
    <mergeCell ref="D4:D5"/>
    <mergeCell ref="C2:C1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2"/>
  <sheetViews>
    <sheetView workbookViewId="0"/>
  </sheetViews>
  <sheetFormatPr defaultRowHeight="15" x14ac:dyDescent="0.25"/>
  <cols>
    <col min="2" max="2" width="24.5703125" bestFit="1" customWidth="1"/>
    <col min="3" max="3" width="72.42578125" bestFit="1" customWidth="1"/>
    <col min="4" max="6" width="9.42578125" bestFit="1" customWidth="1"/>
    <col min="11" max="11" width="15.28515625" bestFit="1" customWidth="1"/>
  </cols>
  <sheetData>
    <row r="2" spans="1:17" ht="15.75" thickBot="1" x14ac:dyDescent="0.3">
      <c r="K2" s="39" t="s">
        <v>20</v>
      </c>
      <c r="L2" s="39"/>
      <c r="M2" s="39"/>
      <c r="N2" s="39"/>
      <c r="O2" s="39"/>
      <c r="P2" s="39"/>
      <c r="Q2" s="39"/>
    </row>
    <row r="3" spans="1:17" x14ac:dyDescent="0.25">
      <c r="B3" s="40" t="s">
        <v>13</v>
      </c>
      <c r="C3" s="42" t="s">
        <v>9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13" t="s">
        <v>16</v>
      </c>
      <c r="K3" s="11" t="s">
        <v>0</v>
      </c>
      <c r="L3">
        <f>Data!F15</f>
        <v>10</v>
      </c>
      <c r="M3">
        <f>Data!G15</f>
        <v>10</v>
      </c>
      <c r="N3">
        <f>Data!H15</f>
        <v>10</v>
      </c>
      <c r="O3">
        <f>Data!I15</f>
        <v>10</v>
      </c>
      <c r="P3">
        <f>Data!J15</f>
        <v>10</v>
      </c>
      <c r="Q3">
        <f>Data!K15</f>
        <v>10</v>
      </c>
    </row>
    <row r="4" spans="1:17" ht="15.75" thickBot="1" x14ac:dyDescent="0.3">
      <c r="B4" s="41"/>
      <c r="C4" s="43"/>
      <c r="D4" s="8">
        <v>1</v>
      </c>
      <c r="E4" s="8">
        <v>2</v>
      </c>
      <c r="F4" s="8">
        <v>3</v>
      </c>
      <c r="G4" s="8">
        <v>4</v>
      </c>
      <c r="H4" s="8">
        <v>5</v>
      </c>
      <c r="I4" s="9">
        <v>6</v>
      </c>
      <c r="K4" s="12" t="s">
        <v>33</v>
      </c>
      <c r="L4">
        <f>D19</f>
        <v>10</v>
      </c>
      <c r="M4">
        <f t="shared" ref="M4:Q4" si="0">E19</f>
        <v>6.666666666666667</v>
      </c>
      <c r="N4">
        <f t="shared" si="0"/>
        <v>10</v>
      </c>
      <c r="O4">
        <f t="shared" si="0"/>
        <v>6.666666666666667</v>
      </c>
      <c r="P4">
        <f t="shared" si="0"/>
        <v>10</v>
      </c>
      <c r="Q4">
        <f t="shared" si="0"/>
        <v>6.666666666666667</v>
      </c>
    </row>
    <row r="5" spans="1:17" x14ac:dyDescent="0.25">
      <c r="C5" s="2"/>
      <c r="D5" s="2"/>
      <c r="E5" s="2"/>
      <c r="F5" s="2"/>
      <c r="G5" s="2"/>
      <c r="H5" s="2"/>
      <c r="I5" s="2"/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7" x14ac:dyDescent="0.25">
      <c r="A7" s="2"/>
      <c r="B7" s="45" t="s">
        <v>12</v>
      </c>
      <c r="C7" s="30" t="s">
        <v>27</v>
      </c>
      <c r="D7" s="28">
        <f>Data!F4</f>
        <v>9</v>
      </c>
      <c r="E7" s="28">
        <v>9</v>
      </c>
      <c r="F7" s="28">
        <v>9</v>
      </c>
      <c r="G7" s="28">
        <v>9</v>
      </c>
      <c r="H7" s="28">
        <v>9</v>
      </c>
      <c r="I7" s="28">
        <v>9</v>
      </c>
      <c r="J7" s="2"/>
    </row>
    <row r="8" spans="1:17" x14ac:dyDescent="0.25">
      <c r="A8" s="2"/>
      <c r="B8" s="46"/>
      <c r="C8" s="30" t="s">
        <v>28</v>
      </c>
      <c r="D8" s="28">
        <f>Data!F2</f>
        <v>90</v>
      </c>
      <c r="E8" s="28">
        <f>Data!G2</f>
        <v>60</v>
      </c>
      <c r="F8" s="28">
        <f>Data!H2</f>
        <v>90</v>
      </c>
      <c r="G8" s="28">
        <f>Data!I2</f>
        <v>60</v>
      </c>
      <c r="H8" s="28">
        <f>Data!J2</f>
        <v>90</v>
      </c>
      <c r="I8" s="28">
        <f>Data!K2</f>
        <v>60</v>
      </c>
      <c r="J8" s="2"/>
    </row>
    <row r="9" spans="1:17" x14ac:dyDescent="0.25">
      <c r="A9" s="2"/>
      <c r="B9" s="47"/>
      <c r="C9" s="30" t="s">
        <v>48</v>
      </c>
      <c r="D9" s="28">
        <v>50</v>
      </c>
      <c r="E9" s="28">
        <v>50</v>
      </c>
      <c r="F9" s="28">
        <v>50</v>
      </c>
      <c r="G9" s="28">
        <v>50</v>
      </c>
      <c r="H9" s="28">
        <v>50</v>
      </c>
      <c r="I9" s="28">
        <v>50</v>
      </c>
      <c r="J9" s="2"/>
    </row>
    <row r="10" spans="1:17" x14ac:dyDescent="0.25">
      <c r="A10" s="2"/>
      <c r="B10" s="2"/>
      <c r="C10" s="2"/>
      <c r="D10" s="1"/>
      <c r="E10" s="1"/>
      <c r="F10" s="1"/>
      <c r="G10" s="1"/>
      <c r="H10" s="1"/>
      <c r="I10" s="1"/>
      <c r="J10" s="2"/>
    </row>
    <row r="11" spans="1:17" x14ac:dyDescent="0.25">
      <c r="A11" s="2"/>
      <c r="B11" s="2"/>
      <c r="C11" s="2"/>
      <c r="D11" s="1"/>
      <c r="E11" s="1"/>
      <c r="F11" s="1"/>
      <c r="G11" s="1"/>
      <c r="H11" s="1"/>
      <c r="I11" s="1"/>
      <c r="J11" s="2"/>
    </row>
    <row r="12" spans="1:17" x14ac:dyDescent="0.25">
      <c r="A12" s="2"/>
      <c r="B12" s="44" t="s">
        <v>10</v>
      </c>
      <c r="C12" s="30" t="s">
        <v>31</v>
      </c>
      <c r="D12" s="28">
        <v>9</v>
      </c>
      <c r="E12" s="28">
        <v>9</v>
      </c>
      <c r="F12" s="28">
        <v>9</v>
      </c>
      <c r="G12" s="28">
        <v>9</v>
      </c>
      <c r="H12" s="28">
        <v>9</v>
      </c>
      <c r="I12" s="28">
        <v>9</v>
      </c>
      <c r="J12" s="2"/>
    </row>
    <row r="13" spans="1:17" x14ac:dyDescent="0.25">
      <c r="A13" s="2"/>
      <c r="B13" s="44"/>
      <c r="C13" s="30" t="s">
        <v>30</v>
      </c>
      <c r="D13" s="28">
        <f>Data!F3</f>
        <v>90</v>
      </c>
      <c r="E13" s="28">
        <f>Data!G3</f>
        <v>60</v>
      </c>
      <c r="F13" s="28">
        <f>Data!H3</f>
        <v>90</v>
      </c>
      <c r="G13" s="28">
        <f>Data!I3</f>
        <v>60</v>
      </c>
      <c r="H13" s="28">
        <f>Data!J3</f>
        <v>90</v>
      </c>
      <c r="I13" s="28">
        <f>Data!K3</f>
        <v>60</v>
      </c>
      <c r="J13" s="2"/>
    </row>
    <row r="14" spans="1:17" x14ac:dyDescent="0.25">
      <c r="A14" s="2"/>
      <c r="B14" s="44"/>
      <c r="C14" s="30" t="s">
        <v>29</v>
      </c>
      <c r="D14" s="28">
        <f>Data!F5</f>
        <v>9</v>
      </c>
      <c r="E14" s="28">
        <f>Data!G5</f>
        <v>6</v>
      </c>
      <c r="F14" s="28">
        <f>Data!H5</f>
        <v>9</v>
      </c>
      <c r="G14" s="28">
        <f>Data!I5</f>
        <v>6</v>
      </c>
      <c r="H14" s="28">
        <f>Data!J5</f>
        <v>9</v>
      </c>
      <c r="I14" s="28">
        <f>Data!K5</f>
        <v>6</v>
      </c>
      <c r="J14" s="2"/>
    </row>
    <row r="15" spans="1:17" x14ac:dyDescent="0.25">
      <c r="A15" s="2"/>
      <c r="B15" s="44"/>
      <c r="C15" s="32" t="s">
        <v>51</v>
      </c>
      <c r="D15" s="28">
        <f>Data!F9</f>
        <v>0.9</v>
      </c>
      <c r="E15" s="28">
        <f>Data!G9</f>
        <v>0</v>
      </c>
      <c r="F15" s="28">
        <f>Data!H9</f>
        <v>1</v>
      </c>
      <c r="G15" s="28">
        <f>Data!I9</f>
        <v>0</v>
      </c>
      <c r="H15" s="28">
        <f>Data!J9</f>
        <v>0.7</v>
      </c>
      <c r="I15" s="28">
        <f>Data!K9</f>
        <v>0</v>
      </c>
      <c r="J15" s="2"/>
      <c r="K15" s="12"/>
    </row>
    <row r="16" spans="1:17" x14ac:dyDescent="0.25">
      <c r="A16" s="2"/>
      <c r="B16" s="1"/>
      <c r="C16" s="31"/>
      <c r="D16" s="1"/>
      <c r="E16" s="1"/>
      <c r="F16" s="1"/>
      <c r="G16" s="1"/>
      <c r="H16" s="1"/>
      <c r="I16" s="1"/>
      <c r="J16" s="2"/>
      <c r="K16" s="12"/>
    </row>
    <row r="17" spans="1:17" x14ac:dyDescent="0.25">
      <c r="A17" s="2"/>
      <c r="B17" s="2"/>
      <c r="C17" s="2"/>
      <c r="D17" s="1"/>
      <c r="E17" s="1"/>
      <c r="F17" s="1"/>
      <c r="G17" s="1"/>
      <c r="H17" s="1"/>
      <c r="I17" s="1"/>
      <c r="J17" s="2"/>
    </row>
    <row r="18" spans="1:17" x14ac:dyDescent="0.25">
      <c r="A18" s="2"/>
      <c r="B18" s="2"/>
      <c r="C18" s="2"/>
      <c r="D18" s="1"/>
      <c r="E18" s="1"/>
      <c r="F18" s="1"/>
      <c r="G18" s="1"/>
      <c r="H18" s="1"/>
      <c r="I18" s="1"/>
      <c r="J18" s="2"/>
    </row>
    <row r="19" spans="1:17" x14ac:dyDescent="0.25">
      <c r="A19" s="2"/>
      <c r="B19" s="45" t="s">
        <v>11</v>
      </c>
      <c r="C19" s="24" t="s">
        <v>49</v>
      </c>
      <c r="D19" s="28">
        <f>D13/D12</f>
        <v>10</v>
      </c>
      <c r="E19" s="28">
        <f t="shared" ref="E19:I19" si="1">E13/E12</f>
        <v>6.666666666666667</v>
      </c>
      <c r="F19" s="28">
        <f t="shared" si="1"/>
        <v>10</v>
      </c>
      <c r="G19" s="28">
        <f t="shared" si="1"/>
        <v>6.666666666666667</v>
      </c>
      <c r="H19" s="28">
        <f t="shared" si="1"/>
        <v>10</v>
      </c>
      <c r="I19" s="28">
        <f t="shared" si="1"/>
        <v>6.666666666666667</v>
      </c>
      <c r="J19" s="2"/>
    </row>
    <row r="20" spans="1:17" x14ac:dyDescent="0.25">
      <c r="A20" s="2"/>
      <c r="B20" s="46"/>
      <c r="C20" s="24" t="s">
        <v>19</v>
      </c>
      <c r="D20" s="28">
        <f>D14/D12</f>
        <v>1</v>
      </c>
      <c r="E20" s="28">
        <f t="shared" ref="E20:I20" si="2">E14/E12</f>
        <v>0.66666666666666663</v>
      </c>
      <c r="F20" s="28">
        <f t="shared" si="2"/>
        <v>1</v>
      </c>
      <c r="G20" s="28">
        <f t="shared" si="2"/>
        <v>0.66666666666666663</v>
      </c>
      <c r="H20" s="28">
        <f t="shared" si="2"/>
        <v>1</v>
      </c>
      <c r="I20" s="28">
        <f t="shared" si="2"/>
        <v>0.66666666666666663</v>
      </c>
      <c r="J20" s="2"/>
    </row>
    <row r="21" spans="1:17" x14ac:dyDescent="0.25">
      <c r="A21" s="2"/>
      <c r="B21" s="46"/>
      <c r="C21" s="24" t="s">
        <v>46</v>
      </c>
      <c r="D21" s="28">
        <f>D12-D7</f>
        <v>0</v>
      </c>
      <c r="E21" s="28">
        <f t="shared" ref="E21:I21" si="3">E12-E7</f>
        <v>0</v>
      </c>
      <c r="F21" s="28">
        <f t="shared" si="3"/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"/>
    </row>
    <row r="22" spans="1:17" x14ac:dyDescent="0.25">
      <c r="A22" s="2"/>
      <c r="B22" s="46"/>
      <c r="C22" s="24" t="s">
        <v>22</v>
      </c>
      <c r="D22" s="28">
        <f>D8-D13</f>
        <v>0</v>
      </c>
      <c r="E22" s="28">
        <f t="shared" ref="E22:I22" si="4">E8-E13</f>
        <v>0</v>
      </c>
      <c r="F22" s="28">
        <f t="shared" si="4"/>
        <v>0</v>
      </c>
      <c r="G22" s="28">
        <f t="shared" si="4"/>
        <v>0</v>
      </c>
      <c r="H22" s="28">
        <f t="shared" si="4"/>
        <v>0</v>
      </c>
      <c r="I22" s="28">
        <f t="shared" si="4"/>
        <v>0</v>
      </c>
      <c r="J22" s="2"/>
      <c r="K22" s="39" t="s">
        <v>47</v>
      </c>
      <c r="L22" s="39"/>
      <c r="M22" s="39"/>
      <c r="N22" s="39"/>
      <c r="O22" s="39"/>
      <c r="P22" s="39"/>
      <c r="Q22" s="39"/>
    </row>
    <row r="23" spans="1:17" x14ac:dyDescent="0.25">
      <c r="A23" s="2"/>
      <c r="B23" s="47"/>
      <c r="C23" s="24" t="s">
        <v>50</v>
      </c>
      <c r="D23" s="28">
        <f>D13/D9</f>
        <v>1.8</v>
      </c>
      <c r="E23" s="28">
        <f t="shared" ref="E23:I23" si="5">E13/E9</f>
        <v>1.2</v>
      </c>
      <c r="F23" s="28">
        <f t="shared" si="5"/>
        <v>1.8</v>
      </c>
      <c r="G23" s="28">
        <f t="shared" si="5"/>
        <v>1.2</v>
      </c>
      <c r="H23" s="28">
        <f t="shared" si="5"/>
        <v>1.8</v>
      </c>
      <c r="I23" s="28">
        <f t="shared" si="5"/>
        <v>1.2</v>
      </c>
      <c r="J23" s="2"/>
      <c r="K23" s="25"/>
      <c r="L23" s="25"/>
      <c r="M23" s="25"/>
      <c r="N23" s="25"/>
      <c r="O23" s="25"/>
      <c r="P23" s="25"/>
      <c r="Q23" s="25"/>
    </row>
    <row r="24" spans="1:17" x14ac:dyDescent="0.25">
      <c r="C24" s="33"/>
      <c r="K24" s="11" t="s">
        <v>0</v>
      </c>
      <c r="L24">
        <f>Data!F16</f>
        <v>0.1</v>
      </c>
      <c r="M24">
        <f>Data!G16</f>
        <v>0.1</v>
      </c>
      <c r="N24">
        <f>Data!H16</f>
        <v>0.1</v>
      </c>
      <c r="O24">
        <f>Data!I16</f>
        <v>0.1</v>
      </c>
      <c r="P24">
        <f>Data!J16</f>
        <v>0.1</v>
      </c>
      <c r="Q24">
        <f>Data!K16</f>
        <v>0.1</v>
      </c>
    </row>
    <row r="25" spans="1:17" x14ac:dyDescent="0.25">
      <c r="K25" s="12" t="s">
        <v>1</v>
      </c>
      <c r="L25">
        <f>D20</f>
        <v>1</v>
      </c>
      <c r="M25">
        <f t="shared" ref="M25:Q25" si="6">E20</f>
        <v>0.66666666666666663</v>
      </c>
      <c r="N25">
        <f t="shared" si="6"/>
        <v>1</v>
      </c>
      <c r="O25">
        <f t="shared" si="6"/>
        <v>0.66666666666666663</v>
      </c>
      <c r="P25">
        <f t="shared" si="6"/>
        <v>1</v>
      </c>
      <c r="Q25">
        <f t="shared" si="6"/>
        <v>0.66666666666666663</v>
      </c>
    </row>
    <row r="40" spans="11:17" x14ac:dyDescent="0.25">
      <c r="K40" s="39" t="s">
        <v>24</v>
      </c>
      <c r="L40" s="39"/>
      <c r="M40" s="39"/>
      <c r="N40" s="39"/>
      <c r="O40" s="39"/>
      <c r="P40" s="39"/>
      <c r="Q40" s="39"/>
    </row>
    <row r="41" spans="11:17" x14ac:dyDescent="0.25">
      <c r="K41" s="11" t="s">
        <v>0</v>
      </c>
      <c r="L41">
        <f>Data!F18</f>
        <v>0</v>
      </c>
      <c r="M41">
        <f>Data!G18</f>
        <v>0</v>
      </c>
      <c r="N41">
        <f>Data!H18</f>
        <v>0</v>
      </c>
      <c r="O41">
        <f>Data!I18</f>
        <v>0</v>
      </c>
      <c r="P41">
        <f>Data!J18</f>
        <v>0</v>
      </c>
      <c r="Q41">
        <f>Data!K18</f>
        <v>0</v>
      </c>
    </row>
    <row r="42" spans="11:17" x14ac:dyDescent="0.25">
      <c r="K42" s="12" t="s">
        <v>1</v>
      </c>
      <c r="L42">
        <f>D21</f>
        <v>0</v>
      </c>
      <c r="M42">
        <f t="shared" ref="M42:Q42" si="7">E21</f>
        <v>0</v>
      </c>
      <c r="N42">
        <f t="shared" si="7"/>
        <v>0</v>
      </c>
      <c r="O42">
        <f t="shared" si="7"/>
        <v>0</v>
      </c>
      <c r="P42">
        <f t="shared" si="7"/>
        <v>0</v>
      </c>
      <c r="Q42">
        <f t="shared" si="7"/>
        <v>0</v>
      </c>
    </row>
    <row r="58" spans="11:17" x14ac:dyDescent="0.25">
      <c r="K58" s="39" t="s">
        <v>25</v>
      </c>
      <c r="L58" s="39"/>
      <c r="M58" s="39"/>
      <c r="N58" s="39"/>
      <c r="O58" s="39"/>
      <c r="P58" s="39"/>
      <c r="Q58" s="39"/>
    </row>
    <row r="59" spans="11:17" x14ac:dyDescent="0.25">
      <c r="K59" s="11" t="s">
        <v>0</v>
      </c>
      <c r="L59">
        <f>Data!F19</f>
        <v>0</v>
      </c>
      <c r="M59">
        <f>Data!G19</f>
        <v>0</v>
      </c>
      <c r="N59">
        <f>Data!H19</f>
        <v>0</v>
      </c>
      <c r="O59">
        <f>Data!I19</f>
        <v>0</v>
      </c>
      <c r="P59">
        <f>Data!J19</f>
        <v>0</v>
      </c>
      <c r="Q59">
        <f>Data!K19</f>
        <v>0</v>
      </c>
    </row>
    <row r="60" spans="11:17" x14ac:dyDescent="0.25">
      <c r="K60" s="12" t="s">
        <v>1</v>
      </c>
      <c r="L60">
        <f>D22</f>
        <v>0</v>
      </c>
      <c r="M60">
        <f t="shared" ref="M60:Q60" si="8">E22</f>
        <v>0</v>
      </c>
      <c r="N60">
        <f t="shared" si="8"/>
        <v>0</v>
      </c>
      <c r="O60">
        <f t="shared" si="8"/>
        <v>0</v>
      </c>
      <c r="P60">
        <f t="shared" si="8"/>
        <v>0</v>
      </c>
      <c r="Q60">
        <f t="shared" si="8"/>
        <v>0</v>
      </c>
    </row>
    <row r="75" spans="11:17" x14ac:dyDescent="0.25">
      <c r="K75" s="39" t="s">
        <v>26</v>
      </c>
      <c r="L75" s="39"/>
      <c r="M75" s="39"/>
      <c r="N75" s="39"/>
      <c r="O75" s="39"/>
      <c r="P75" s="39"/>
      <c r="Q75" s="39"/>
    </row>
    <row r="76" spans="11:17" x14ac:dyDescent="0.25">
      <c r="K76" s="11" t="s">
        <v>0</v>
      </c>
      <c r="L76">
        <f>Data!F17</f>
        <v>0.8</v>
      </c>
      <c r="M76">
        <f>Data!G17</f>
        <v>0.8</v>
      </c>
      <c r="N76">
        <f>Data!H17</f>
        <v>0.8</v>
      </c>
      <c r="O76">
        <f>Data!I17</f>
        <v>0.8</v>
      </c>
      <c r="P76">
        <f>Data!J17</f>
        <v>0.8</v>
      </c>
      <c r="Q76">
        <f>Data!K17</f>
        <v>0.8</v>
      </c>
    </row>
    <row r="77" spans="11:17" x14ac:dyDescent="0.25">
      <c r="K77" s="12" t="s">
        <v>1</v>
      </c>
      <c r="L77">
        <f t="shared" ref="L77:Q77" si="9">D15</f>
        <v>0.9</v>
      </c>
      <c r="M77">
        <f t="shared" si="9"/>
        <v>0</v>
      </c>
      <c r="N77">
        <f t="shared" si="9"/>
        <v>1</v>
      </c>
      <c r="O77">
        <f t="shared" si="9"/>
        <v>0</v>
      </c>
      <c r="P77">
        <f t="shared" si="9"/>
        <v>0.7</v>
      </c>
      <c r="Q77">
        <f t="shared" si="9"/>
        <v>0</v>
      </c>
    </row>
    <row r="83" spans="11:17" x14ac:dyDescent="0.25">
      <c r="K83" s="39"/>
      <c r="L83" s="39"/>
      <c r="M83" s="39"/>
      <c r="N83" s="39"/>
      <c r="O83" s="39"/>
      <c r="P83" s="39"/>
      <c r="Q83" s="39"/>
    </row>
    <row r="93" spans="11:17" x14ac:dyDescent="0.25">
      <c r="K93" s="39" t="s">
        <v>50</v>
      </c>
      <c r="L93" s="39"/>
      <c r="M93" s="39"/>
      <c r="N93" s="39"/>
      <c r="O93" s="39"/>
      <c r="P93" s="39"/>
      <c r="Q93" s="39"/>
    </row>
    <row r="94" spans="11:17" x14ac:dyDescent="0.25">
      <c r="K94" s="11" t="s">
        <v>0</v>
      </c>
      <c r="L94">
        <f>Data!F20</f>
        <v>1</v>
      </c>
      <c r="M94">
        <f>Data!G20</f>
        <v>1</v>
      </c>
      <c r="N94">
        <f>Data!H20</f>
        <v>1</v>
      </c>
      <c r="O94">
        <f>Data!I20</f>
        <v>1</v>
      </c>
      <c r="P94">
        <f>Data!J20</f>
        <v>1</v>
      </c>
      <c r="Q94">
        <f>Data!K20</f>
        <v>1</v>
      </c>
    </row>
    <row r="95" spans="11:17" x14ac:dyDescent="0.25">
      <c r="K95" s="12" t="s">
        <v>1</v>
      </c>
      <c r="L95">
        <f>D23</f>
        <v>1.8</v>
      </c>
      <c r="M95">
        <f t="shared" ref="M95:Q95" si="10">E23</f>
        <v>1.2</v>
      </c>
      <c r="N95">
        <f t="shared" si="10"/>
        <v>1.8</v>
      </c>
      <c r="O95">
        <f t="shared" si="10"/>
        <v>1.2</v>
      </c>
      <c r="P95">
        <f t="shared" si="10"/>
        <v>1.8</v>
      </c>
      <c r="Q95">
        <f t="shared" si="10"/>
        <v>1.2</v>
      </c>
    </row>
    <row r="102" spans="11:17" x14ac:dyDescent="0.25">
      <c r="K102" s="39"/>
      <c r="L102" s="39"/>
      <c r="M102" s="39"/>
      <c r="N102" s="39"/>
      <c r="O102" s="39"/>
      <c r="P102" s="39"/>
      <c r="Q102" s="39"/>
    </row>
  </sheetData>
  <mergeCells count="13">
    <mergeCell ref="K2:Q2"/>
    <mergeCell ref="K22:Q22"/>
    <mergeCell ref="K58:Q58"/>
    <mergeCell ref="K40:Q40"/>
    <mergeCell ref="K75:Q75"/>
    <mergeCell ref="K102:Q102"/>
    <mergeCell ref="K83:Q83"/>
    <mergeCell ref="B3:B4"/>
    <mergeCell ref="C3:C4"/>
    <mergeCell ref="B12:B15"/>
    <mergeCell ref="B7:B9"/>
    <mergeCell ref="B19:B23"/>
    <mergeCell ref="K93:Q9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K13"/>
    </sheetView>
  </sheetViews>
  <sheetFormatPr defaultRowHeight="15" x14ac:dyDescent="0.25"/>
  <cols>
    <col min="1" max="1" width="16.42578125" bestFit="1" customWidth="1"/>
    <col min="2" max="2" width="5" bestFit="1" customWidth="1"/>
    <col min="3" max="3" width="10.42578125" customWidth="1"/>
    <col min="4" max="4" width="13.5703125" customWidth="1"/>
    <col min="5" max="5" width="9.85546875" customWidth="1"/>
    <col min="6" max="6" width="7.7109375" customWidth="1"/>
    <col min="7" max="7" width="12.28515625" style="26" bestFit="1" customWidth="1"/>
    <col min="8" max="8" width="12.28515625" style="22" customWidth="1"/>
    <col min="9" max="9" width="19.42578125" style="26" customWidth="1"/>
    <col min="10" max="10" width="9.7109375" customWidth="1"/>
    <col min="11" max="11" width="11.42578125" customWidth="1"/>
  </cols>
  <sheetData>
    <row r="1" spans="1:11" ht="45" x14ac:dyDescent="0.25">
      <c r="A1" s="48" t="s">
        <v>52</v>
      </c>
      <c r="B1" s="49" t="s">
        <v>53</v>
      </c>
      <c r="C1" s="49" t="s">
        <v>54</v>
      </c>
      <c r="D1" s="49" t="s">
        <v>55</v>
      </c>
      <c r="E1" s="49" t="s">
        <v>56</v>
      </c>
      <c r="F1" s="49" t="s">
        <v>57</v>
      </c>
      <c r="G1" s="49" t="s">
        <v>58</v>
      </c>
      <c r="H1" s="49" t="s">
        <v>59</v>
      </c>
      <c r="I1" s="49" t="s">
        <v>60</v>
      </c>
      <c r="J1" s="49" t="s">
        <v>61</v>
      </c>
      <c r="K1" s="50" t="s">
        <v>62</v>
      </c>
    </row>
    <row r="2" spans="1:11" x14ac:dyDescent="0.25">
      <c r="A2" s="51" t="s">
        <v>63</v>
      </c>
      <c r="B2" s="52" t="s">
        <v>64</v>
      </c>
      <c r="C2" s="52">
        <v>100</v>
      </c>
      <c r="D2" s="52">
        <v>8</v>
      </c>
      <c r="E2" s="52">
        <v>10</v>
      </c>
      <c r="F2" s="52">
        <v>1</v>
      </c>
      <c r="G2" s="52">
        <f>D2*(E2-F2)*C2/100</f>
        <v>72</v>
      </c>
      <c r="H2" s="29">
        <f>G2*7/100</f>
        <v>5.04</v>
      </c>
      <c r="I2" s="52">
        <f>G2-H2</f>
        <v>66.959999999999994</v>
      </c>
      <c r="J2" s="52">
        <f>I2*80/100</f>
        <v>53.567999999999991</v>
      </c>
      <c r="K2" s="53">
        <f>J2/8</f>
        <v>6.6959999999999988</v>
      </c>
    </row>
    <row r="3" spans="1:11" x14ac:dyDescent="0.25">
      <c r="A3" s="51" t="s">
        <v>65</v>
      </c>
      <c r="B3" s="52" t="s">
        <v>64</v>
      </c>
      <c r="C3" s="52">
        <v>100</v>
      </c>
      <c r="D3" s="52">
        <v>8</v>
      </c>
      <c r="E3" s="52">
        <v>10</v>
      </c>
      <c r="F3" s="52">
        <v>1</v>
      </c>
      <c r="G3" s="52">
        <f t="shared" ref="G3:G7" si="0">D3*(E3-F3)*C3/100</f>
        <v>72</v>
      </c>
      <c r="H3" s="29">
        <f t="shared" ref="H3:H8" si="1">G3*7/100</f>
        <v>5.04</v>
      </c>
      <c r="I3" s="52">
        <f t="shared" ref="I3:I8" si="2">G3-H3</f>
        <v>66.959999999999994</v>
      </c>
      <c r="J3" s="52">
        <f t="shared" ref="J3:J8" si="3">I3*80/100</f>
        <v>53.567999999999991</v>
      </c>
      <c r="K3" s="53">
        <f t="shared" ref="K3:K8" si="4">J3/8</f>
        <v>6.6959999999999988</v>
      </c>
    </row>
    <row r="4" spans="1:11" x14ac:dyDescent="0.25">
      <c r="A4" s="51" t="s">
        <v>66</v>
      </c>
      <c r="B4" s="52" t="s">
        <v>64</v>
      </c>
      <c r="C4" s="52">
        <v>100</v>
      </c>
      <c r="D4" s="52">
        <v>8</v>
      </c>
      <c r="E4" s="52">
        <v>10</v>
      </c>
      <c r="F4" s="52">
        <v>2</v>
      </c>
      <c r="G4" s="52">
        <f t="shared" si="0"/>
        <v>64</v>
      </c>
      <c r="H4" s="29">
        <f t="shared" si="1"/>
        <v>4.4800000000000004</v>
      </c>
      <c r="I4" s="52">
        <f t="shared" si="2"/>
        <v>59.519999999999996</v>
      </c>
      <c r="J4" s="52">
        <f t="shared" si="3"/>
        <v>47.615999999999993</v>
      </c>
      <c r="K4" s="53">
        <f t="shared" si="4"/>
        <v>5.9519999999999991</v>
      </c>
    </row>
    <row r="5" spans="1:11" x14ac:dyDescent="0.25">
      <c r="A5" s="51" t="s">
        <v>67</v>
      </c>
      <c r="B5" s="52" t="s">
        <v>64</v>
      </c>
      <c r="C5" s="52">
        <v>100</v>
      </c>
      <c r="D5" s="52">
        <v>8</v>
      </c>
      <c r="E5" s="52">
        <v>10</v>
      </c>
      <c r="F5" s="52">
        <v>0</v>
      </c>
      <c r="G5" s="52">
        <f t="shared" si="0"/>
        <v>80</v>
      </c>
      <c r="H5" s="29">
        <f t="shared" si="1"/>
        <v>5.6</v>
      </c>
      <c r="I5" s="52">
        <f t="shared" si="2"/>
        <v>74.400000000000006</v>
      </c>
      <c r="J5" s="52">
        <f t="shared" si="3"/>
        <v>59.52</v>
      </c>
      <c r="K5" s="53">
        <f t="shared" si="4"/>
        <v>7.44</v>
      </c>
    </row>
    <row r="6" spans="1:11" x14ac:dyDescent="0.25">
      <c r="A6" s="51" t="s">
        <v>68</v>
      </c>
      <c r="B6" s="52" t="s">
        <v>68</v>
      </c>
      <c r="C6" s="52">
        <v>50</v>
      </c>
      <c r="D6" s="52">
        <v>8</v>
      </c>
      <c r="E6" s="52">
        <v>10</v>
      </c>
      <c r="F6" s="52">
        <v>0</v>
      </c>
      <c r="G6" s="52">
        <f t="shared" si="0"/>
        <v>40</v>
      </c>
      <c r="H6" s="29">
        <f t="shared" si="1"/>
        <v>2.8</v>
      </c>
      <c r="I6" s="52">
        <f t="shared" si="2"/>
        <v>37.200000000000003</v>
      </c>
      <c r="J6" s="52">
        <f t="shared" si="3"/>
        <v>29.76</v>
      </c>
      <c r="K6" s="53">
        <f t="shared" si="4"/>
        <v>3.72</v>
      </c>
    </row>
    <row r="7" spans="1:11" x14ac:dyDescent="0.25">
      <c r="A7" s="51" t="s">
        <v>69</v>
      </c>
      <c r="B7" s="52" t="s">
        <v>69</v>
      </c>
      <c r="C7" s="52">
        <v>25</v>
      </c>
      <c r="D7" s="52">
        <v>8</v>
      </c>
      <c r="E7" s="52">
        <v>10</v>
      </c>
      <c r="F7" s="52">
        <v>0</v>
      </c>
      <c r="G7" s="52">
        <f t="shared" si="0"/>
        <v>20</v>
      </c>
      <c r="H7" s="29">
        <f t="shared" si="1"/>
        <v>1.4</v>
      </c>
      <c r="I7" s="52">
        <f t="shared" si="2"/>
        <v>18.600000000000001</v>
      </c>
      <c r="J7" s="52">
        <f t="shared" si="3"/>
        <v>14.88</v>
      </c>
      <c r="K7" s="53">
        <f t="shared" si="4"/>
        <v>1.86</v>
      </c>
    </row>
    <row r="8" spans="1:11" x14ac:dyDescent="0.25">
      <c r="A8" s="51"/>
      <c r="B8" s="52"/>
      <c r="C8" s="52"/>
      <c r="D8" s="52"/>
      <c r="E8" s="52"/>
      <c r="F8" s="52"/>
      <c r="G8" s="52"/>
      <c r="H8" s="29">
        <f t="shared" si="1"/>
        <v>0</v>
      </c>
      <c r="I8" s="52">
        <f t="shared" si="2"/>
        <v>0</v>
      </c>
      <c r="J8" s="52">
        <f t="shared" si="3"/>
        <v>0</v>
      </c>
      <c r="K8" s="53">
        <f t="shared" si="4"/>
        <v>0</v>
      </c>
    </row>
    <row r="9" spans="1:11" x14ac:dyDescent="0.25">
      <c r="A9" s="54"/>
      <c r="B9" s="30"/>
      <c r="C9" s="30"/>
      <c r="D9" s="52"/>
      <c r="E9" s="52"/>
      <c r="F9" s="52"/>
      <c r="G9" s="52"/>
      <c r="H9" s="29"/>
      <c r="I9" s="52"/>
      <c r="J9" s="30"/>
      <c r="K9" s="55"/>
    </row>
    <row r="10" spans="1:11" x14ac:dyDescent="0.25">
      <c r="A10" s="54"/>
      <c r="B10" s="30"/>
      <c r="C10" s="30"/>
      <c r="D10" s="30"/>
      <c r="E10" s="30"/>
      <c r="F10" s="30"/>
      <c r="G10" s="52"/>
      <c r="H10" s="29"/>
      <c r="I10" s="52"/>
      <c r="J10" s="30"/>
      <c r="K10" s="55"/>
    </row>
    <row r="11" spans="1:11" x14ac:dyDescent="0.25">
      <c r="A11" s="54"/>
      <c r="B11" s="30"/>
      <c r="C11" s="30"/>
      <c r="D11" s="30"/>
      <c r="E11" s="30"/>
      <c r="F11" s="30"/>
      <c r="G11" s="52"/>
      <c r="H11" s="29"/>
      <c r="I11" s="52"/>
      <c r="J11" s="30"/>
      <c r="K11" s="55"/>
    </row>
    <row r="12" spans="1:11" x14ac:dyDescent="0.25">
      <c r="A12" s="54"/>
      <c r="B12" s="30"/>
      <c r="C12" s="30"/>
      <c r="D12" s="30"/>
      <c r="E12" s="30"/>
      <c r="F12" s="30"/>
      <c r="G12" s="52"/>
      <c r="H12" s="29"/>
      <c r="I12" s="52"/>
      <c r="J12" s="30"/>
      <c r="K12" s="55"/>
    </row>
    <row r="13" spans="1:11" ht="15.75" thickBot="1" x14ac:dyDescent="0.3">
      <c r="A13" s="56" t="s">
        <v>70</v>
      </c>
      <c r="B13" s="57"/>
      <c r="C13" s="57"/>
      <c r="D13" s="57"/>
      <c r="E13" s="58">
        <f>SUM(E2:E7)</f>
        <v>60</v>
      </c>
      <c r="F13" s="58">
        <f t="shared" ref="F13:K13" si="5">SUM(F2:F7)</f>
        <v>4</v>
      </c>
      <c r="G13" s="58">
        <f t="shared" si="5"/>
        <v>348</v>
      </c>
      <c r="H13" s="58">
        <f t="shared" si="5"/>
        <v>24.36</v>
      </c>
      <c r="I13" s="58">
        <f t="shared" si="5"/>
        <v>323.64000000000004</v>
      </c>
      <c r="J13" s="58">
        <f t="shared" si="5"/>
        <v>258.91199999999998</v>
      </c>
      <c r="K13" s="58">
        <f t="shared" si="5"/>
        <v>32.363999999999997</v>
      </c>
    </row>
  </sheetData>
  <mergeCells count="1">
    <mergeCell ref="A13:D1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sqref="A1:A7"/>
    </sheetView>
  </sheetViews>
  <sheetFormatPr defaultRowHeight="15" x14ac:dyDescent="0.25"/>
  <sheetData>
    <row r="1" spans="1:1" ht="26.25" x14ac:dyDescent="0.25">
      <c r="A1" s="27" t="s">
        <v>36</v>
      </c>
    </row>
    <row r="2" spans="1:1" ht="26.25" x14ac:dyDescent="0.25">
      <c r="A2" s="27" t="s">
        <v>37</v>
      </c>
    </row>
    <row r="3" spans="1:1" ht="26.25" x14ac:dyDescent="0.25">
      <c r="A3" s="27" t="s">
        <v>38</v>
      </c>
    </row>
    <row r="4" spans="1:1" ht="26.25" x14ac:dyDescent="0.25">
      <c r="A4" s="27" t="s">
        <v>39</v>
      </c>
    </row>
    <row r="5" spans="1:1" ht="26.25" x14ac:dyDescent="0.25">
      <c r="A5" s="27" t="s">
        <v>40</v>
      </c>
    </row>
    <row r="6" spans="1:1" ht="26.25" x14ac:dyDescent="0.25">
      <c r="A6" s="27" t="s">
        <v>41</v>
      </c>
    </row>
    <row r="7" spans="1:1" ht="26.25" x14ac:dyDescent="0.25">
      <c r="A7" s="27" t="s">
        <v>42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BuHu</vt:lpstr>
      <vt:lpstr>Capacity Planning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Vohra, Neeraj</dc:creator>
  <cp:lastModifiedBy>Neeraj Vohra</cp:lastModifiedBy>
  <dcterms:created xsi:type="dcterms:W3CDTF">2015-12-18T06:57:27Z</dcterms:created>
  <dcterms:modified xsi:type="dcterms:W3CDTF">2020-11-17T08:03:09Z</dcterms:modified>
</cp:coreProperties>
</file>