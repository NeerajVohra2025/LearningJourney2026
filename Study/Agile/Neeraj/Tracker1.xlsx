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Capacity Planning" sheetId="2" r:id="rId2"/>
  </sheets>
  <calcPr calcId="152511"/>
</workbook>
</file>

<file path=xl/calcChain.xml><?xml version="1.0" encoding="utf-8"?>
<calcChain xmlns="http://schemas.openxmlformats.org/spreadsheetml/2006/main">
  <c r="F13" i="2" l="1"/>
  <c r="G13" i="2"/>
  <c r="H13" i="2"/>
  <c r="I13" i="2"/>
  <c r="J13" i="2"/>
  <c r="K13" i="2"/>
  <c r="H3" i="2"/>
  <c r="H4" i="2"/>
  <c r="H5" i="2"/>
  <c r="H6" i="2"/>
  <c r="H7" i="2"/>
  <c r="H8" i="2"/>
  <c r="H2" i="2"/>
  <c r="E13" i="2"/>
  <c r="J6" i="2"/>
  <c r="K6" i="2" s="1"/>
  <c r="I6" i="2"/>
  <c r="I8" i="2"/>
  <c r="J8" i="2" s="1"/>
  <c r="K8" i="2" s="1"/>
  <c r="G6" i="2"/>
  <c r="G7" i="2"/>
  <c r="I7" i="2" s="1"/>
  <c r="J7" i="2" s="1"/>
  <c r="K7" i="2" s="1"/>
  <c r="I4" i="2" l="1"/>
  <c r="I5" i="2"/>
  <c r="I2" i="2"/>
  <c r="G3" i="2"/>
  <c r="G4" i="2"/>
  <c r="G5" i="2"/>
  <c r="G2" i="2"/>
  <c r="F3" i="1"/>
  <c r="F4" i="1"/>
  <c r="F5" i="1"/>
  <c r="I5" i="1" s="1"/>
  <c r="F2" i="1"/>
  <c r="I2" i="1" s="1"/>
  <c r="H3" i="1"/>
  <c r="H4" i="1"/>
  <c r="H5" i="1"/>
  <c r="H2" i="1"/>
  <c r="I3" i="2" l="1"/>
  <c r="J3" i="2" s="1"/>
  <c r="K3" i="2" s="1"/>
  <c r="I4" i="1"/>
  <c r="J4" i="2"/>
  <c r="K4" i="2" s="1"/>
  <c r="J2" i="2"/>
  <c r="K2" i="2" s="1"/>
  <c r="J5" i="2"/>
  <c r="K5" i="2" s="1"/>
  <c r="J5" i="1"/>
  <c r="K5" i="1" s="1"/>
  <c r="L5" i="1" s="1"/>
  <c r="J4" i="1"/>
  <c r="K4" i="1" s="1"/>
  <c r="L4" i="1" s="1"/>
  <c r="I3" i="1"/>
  <c r="J2" i="1"/>
  <c r="K2" i="1" s="1"/>
  <c r="L2" i="1" s="1"/>
  <c r="J3" i="1" l="1"/>
  <c r="K3" i="1" s="1"/>
  <c r="L3" i="1" s="1"/>
</calcChain>
</file>

<file path=xl/sharedStrings.xml><?xml version="1.0" encoding="utf-8"?>
<sst xmlns="http://schemas.openxmlformats.org/spreadsheetml/2006/main" count="36" uniqueCount="26">
  <si>
    <t>Team Member</t>
  </si>
  <si>
    <t>Role</t>
  </si>
  <si>
    <t>% Allocation</t>
  </si>
  <si>
    <t>Hours/Sprint</t>
  </si>
  <si>
    <t>Holidaye/Leave</t>
  </si>
  <si>
    <t>Hours/Leave</t>
  </si>
  <si>
    <t>Available Hours</t>
  </si>
  <si>
    <t>Ceremonies Time(10%)</t>
  </si>
  <si>
    <t>Available  Hours (after ceremonies)</t>
  </si>
  <si>
    <t>Velocity 80%</t>
  </si>
  <si>
    <t>Business Hours/Day</t>
  </si>
  <si>
    <t>Sprint Duration</t>
  </si>
  <si>
    <t>Available Hours/Sprint</t>
  </si>
  <si>
    <t>Idle Number Of Days</t>
  </si>
  <si>
    <t>Consultant Name</t>
  </si>
  <si>
    <t>Total</t>
  </si>
  <si>
    <t>Dev1</t>
  </si>
  <si>
    <t>Dev2</t>
  </si>
  <si>
    <t>Dev3</t>
  </si>
  <si>
    <t>Dev4</t>
  </si>
  <si>
    <t>PO</t>
  </si>
  <si>
    <t>SM</t>
  </si>
  <si>
    <t>Dev</t>
  </si>
  <si>
    <t>Holiday/Leave</t>
  </si>
  <si>
    <t>Ceremonies Time(7%)</t>
  </si>
  <si>
    <t>Idle Hours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</si>
</sst>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J2" sqref="J2"/>
    </sheetView>
  </sheetViews>
  <sheetFormatPr defaultRowHeight="15" x14ac:dyDescent="0.25"/>
  <cols>
    <col min="1" max="1" width="14" bestFit="1" customWidth="1"/>
    <col min="2" max="2" width="5" bestFit="1" customWidth="1"/>
    <col min="3" max="3" width="12" bestFit="1" customWidth="1"/>
    <col min="4" max="4" width="17.140625" customWidth="1"/>
    <col min="5" max="5" width="10.28515625" customWidth="1"/>
    <col min="6" max="6" width="12.28515625" style="1" bestFit="1" customWidth="1"/>
    <col min="7" max="7" width="18.140625" style="1" customWidth="1"/>
    <col min="8" max="8" width="12.140625" style="1" bestFit="1" customWidth="1"/>
    <col min="9" max="9" width="15" bestFit="1" customWidth="1"/>
    <col min="10" max="10" width="22" style="2" bestFit="1" customWidth="1"/>
    <col min="11" max="11" width="33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10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</row>
    <row r="2" spans="1:12" x14ac:dyDescent="0.25">
      <c r="C2" s="1">
        <v>100</v>
      </c>
      <c r="D2" s="1">
        <v>8</v>
      </c>
      <c r="E2" s="1">
        <v>10</v>
      </c>
      <c r="F2" s="1">
        <f>D2*E2*C2/100</f>
        <v>80</v>
      </c>
      <c r="G2" s="1">
        <v>1</v>
      </c>
      <c r="H2" s="1">
        <f>G2*8</f>
        <v>8</v>
      </c>
      <c r="I2">
        <f>F2-H2</f>
        <v>72</v>
      </c>
      <c r="J2" s="2">
        <f>I2*10/100</f>
        <v>7.2</v>
      </c>
      <c r="K2" s="1">
        <f>I2-J2</f>
        <v>64.8</v>
      </c>
      <c r="L2">
        <f>K2*80/100</f>
        <v>51.84</v>
      </c>
    </row>
    <row r="3" spans="1:12" x14ac:dyDescent="0.25">
      <c r="C3" s="1">
        <v>50</v>
      </c>
      <c r="D3" s="1">
        <v>8</v>
      </c>
      <c r="E3" s="1">
        <v>10</v>
      </c>
      <c r="F3" s="1">
        <f t="shared" ref="F3:F5" si="0">D3*E3*C3/100</f>
        <v>40</v>
      </c>
      <c r="G3" s="1">
        <v>1</v>
      </c>
      <c r="H3" s="1">
        <f t="shared" ref="H3:H5" si="1">G3*8</f>
        <v>8</v>
      </c>
      <c r="I3">
        <f t="shared" ref="I3:I5" si="2">F3-H3</f>
        <v>32</v>
      </c>
      <c r="J3" s="2">
        <f t="shared" ref="J3:J5" si="3">I3*10/100</f>
        <v>3.2</v>
      </c>
      <c r="K3" s="1">
        <f t="shared" ref="K3:K5" si="4">I3-J3</f>
        <v>28.8</v>
      </c>
      <c r="L3">
        <f t="shared" ref="L3:L5" si="5">K3*80/100</f>
        <v>23.04</v>
      </c>
    </row>
    <row r="4" spans="1:12" x14ac:dyDescent="0.25">
      <c r="C4" s="1">
        <v>100</v>
      </c>
      <c r="D4" s="1">
        <v>8</v>
      </c>
      <c r="E4" s="1">
        <v>10</v>
      </c>
      <c r="F4" s="1">
        <f t="shared" si="0"/>
        <v>80</v>
      </c>
      <c r="G4" s="1">
        <v>2</v>
      </c>
      <c r="H4" s="1">
        <f t="shared" si="1"/>
        <v>16</v>
      </c>
      <c r="I4">
        <f t="shared" si="2"/>
        <v>64</v>
      </c>
      <c r="J4" s="2">
        <f t="shared" si="3"/>
        <v>6.4</v>
      </c>
      <c r="K4" s="1">
        <f t="shared" si="4"/>
        <v>57.6</v>
      </c>
      <c r="L4">
        <f t="shared" si="5"/>
        <v>46.08</v>
      </c>
    </row>
    <row r="5" spans="1:12" x14ac:dyDescent="0.25">
      <c r="C5" s="1">
        <v>100</v>
      </c>
      <c r="D5" s="1">
        <v>8</v>
      </c>
      <c r="E5" s="1">
        <v>10</v>
      </c>
      <c r="F5" s="1">
        <f t="shared" si="0"/>
        <v>80</v>
      </c>
      <c r="G5" s="1">
        <v>0</v>
      </c>
      <c r="H5" s="1">
        <f t="shared" si="1"/>
        <v>0</v>
      </c>
      <c r="I5">
        <f t="shared" si="2"/>
        <v>80</v>
      </c>
      <c r="J5" s="2">
        <f t="shared" si="3"/>
        <v>8</v>
      </c>
      <c r="K5" s="1">
        <f t="shared" si="4"/>
        <v>72</v>
      </c>
      <c r="L5">
        <f t="shared" si="5"/>
        <v>57.6</v>
      </c>
    </row>
    <row r="6" spans="1:12" x14ac:dyDescent="0.25">
      <c r="D6" s="1"/>
      <c r="E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sqref="A1:K13"/>
    </sheetView>
  </sheetViews>
  <sheetFormatPr defaultRowHeight="15" x14ac:dyDescent="0.25"/>
  <cols>
    <col min="1" max="1" width="16.42578125" bestFit="1" customWidth="1"/>
    <col min="2" max="2" width="5" bestFit="1" customWidth="1"/>
    <col min="3" max="3" width="10.42578125" customWidth="1"/>
    <col min="4" max="4" width="13.5703125" customWidth="1"/>
    <col min="5" max="5" width="9.85546875" customWidth="1"/>
    <col min="6" max="6" width="7.7109375" customWidth="1"/>
    <col min="7" max="7" width="12.28515625" style="1" bestFit="1" customWidth="1"/>
    <col min="8" max="8" width="12.28515625" style="2" customWidth="1"/>
    <col min="9" max="9" width="19.42578125" style="1" customWidth="1"/>
    <col min="10" max="10" width="9.7109375" customWidth="1"/>
    <col min="11" max="11" width="11.42578125" customWidth="1"/>
  </cols>
  <sheetData>
    <row r="1" spans="1:11" ht="45" x14ac:dyDescent="0.25">
      <c r="A1" s="6" t="s">
        <v>14</v>
      </c>
      <c r="B1" s="7" t="s">
        <v>1</v>
      </c>
      <c r="C1" s="7" t="s">
        <v>2</v>
      </c>
      <c r="D1" s="7" t="s">
        <v>10</v>
      </c>
      <c r="E1" s="7" t="s">
        <v>11</v>
      </c>
      <c r="F1" s="7" t="s">
        <v>23</v>
      </c>
      <c r="G1" s="7" t="s">
        <v>12</v>
      </c>
      <c r="H1" s="7" t="s">
        <v>24</v>
      </c>
      <c r="I1" s="7" t="s">
        <v>8</v>
      </c>
      <c r="J1" s="7" t="s">
        <v>25</v>
      </c>
      <c r="K1" s="8" t="s">
        <v>13</v>
      </c>
    </row>
    <row r="2" spans="1:11" x14ac:dyDescent="0.25">
      <c r="A2" s="9" t="s">
        <v>16</v>
      </c>
      <c r="B2" s="3" t="s">
        <v>22</v>
      </c>
      <c r="C2" s="3">
        <v>100</v>
      </c>
      <c r="D2" s="3">
        <v>8</v>
      </c>
      <c r="E2" s="3">
        <v>10</v>
      </c>
      <c r="F2" s="3">
        <v>1</v>
      </c>
      <c r="G2" s="3">
        <f>D2*(E2-F2)*C2/100</f>
        <v>72</v>
      </c>
      <c r="H2" s="4">
        <f>G2*7/100</f>
        <v>5.04</v>
      </c>
      <c r="I2" s="3">
        <f>G2-H2</f>
        <v>66.959999999999994</v>
      </c>
      <c r="J2" s="3">
        <f>I2*80/100</f>
        <v>53.567999999999991</v>
      </c>
      <c r="K2" s="10">
        <f>J2/8</f>
        <v>6.6959999999999988</v>
      </c>
    </row>
    <row r="3" spans="1:11" x14ac:dyDescent="0.25">
      <c r="A3" s="9" t="s">
        <v>17</v>
      </c>
      <c r="B3" s="3" t="s">
        <v>22</v>
      </c>
      <c r="C3" s="3">
        <v>100</v>
      </c>
      <c r="D3" s="3">
        <v>8</v>
      </c>
      <c r="E3" s="3">
        <v>10</v>
      </c>
      <c r="F3" s="3">
        <v>1</v>
      </c>
      <c r="G3" s="3">
        <f t="shared" ref="G3:G7" si="0">D3*(E3-F3)*C3/100</f>
        <v>72</v>
      </c>
      <c r="H3" s="4">
        <f t="shared" ref="H3:H8" si="1">G3*7/100</f>
        <v>5.04</v>
      </c>
      <c r="I3" s="3">
        <f t="shared" ref="I3:I8" si="2">G3-H3</f>
        <v>66.959999999999994</v>
      </c>
      <c r="J3" s="3">
        <f t="shared" ref="J3:J8" si="3">I3*80/100</f>
        <v>53.567999999999991</v>
      </c>
      <c r="K3" s="10">
        <f t="shared" ref="K3:K8" si="4">J3/8</f>
        <v>6.6959999999999988</v>
      </c>
    </row>
    <row r="4" spans="1:11" x14ac:dyDescent="0.25">
      <c r="A4" s="9" t="s">
        <v>18</v>
      </c>
      <c r="B4" s="3" t="s">
        <v>22</v>
      </c>
      <c r="C4" s="3">
        <v>100</v>
      </c>
      <c r="D4" s="3">
        <v>8</v>
      </c>
      <c r="E4" s="3">
        <v>10</v>
      </c>
      <c r="F4" s="3">
        <v>2</v>
      </c>
      <c r="G4" s="3">
        <f t="shared" si="0"/>
        <v>64</v>
      </c>
      <c r="H4" s="4">
        <f t="shared" si="1"/>
        <v>4.4800000000000004</v>
      </c>
      <c r="I4" s="3">
        <f t="shared" si="2"/>
        <v>59.519999999999996</v>
      </c>
      <c r="J4" s="3">
        <f t="shared" si="3"/>
        <v>47.615999999999993</v>
      </c>
      <c r="K4" s="10">
        <f t="shared" si="4"/>
        <v>5.9519999999999991</v>
      </c>
    </row>
    <row r="5" spans="1:11" x14ac:dyDescent="0.25">
      <c r="A5" s="9" t="s">
        <v>19</v>
      </c>
      <c r="B5" s="3" t="s">
        <v>22</v>
      </c>
      <c r="C5" s="3">
        <v>100</v>
      </c>
      <c r="D5" s="3">
        <v>8</v>
      </c>
      <c r="E5" s="3">
        <v>10</v>
      </c>
      <c r="F5" s="3">
        <v>0</v>
      </c>
      <c r="G5" s="3">
        <f t="shared" si="0"/>
        <v>80</v>
      </c>
      <c r="H5" s="4">
        <f t="shared" si="1"/>
        <v>5.6</v>
      </c>
      <c r="I5" s="3">
        <f t="shared" si="2"/>
        <v>74.400000000000006</v>
      </c>
      <c r="J5" s="3">
        <f t="shared" si="3"/>
        <v>59.52</v>
      </c>
      <c r="K5" s="10">
        <f t="shared" si="4"/>
        <v>7.44</v>
      </c>
    </row>
    <row r="6" spans="1:11" x14ac:dyDescent="0.25">
      <c r="A6" s="9" t="s">
        <v>20</v>
      </c>
      <c r="B6" s="3" t="s">
        <v>20</v>
      </c>
      <c r="C6" s="3">
        <v>50</v>
      </c>
      <c r="D6" s="3">
        <v>8</v>
      </c>
      <c r="E6" s="3">
        <v>10</v>
      </c>
      <c r="F6" s="3">
        <v>0</v>
      </c>
      <c r="G6" s="3">
        <f t="shared" si="0"/>
        <v>40</v>
      </c>
      <c r="H6" s="4">
        <f t="shared" si="1"/>
        <v>2.8</v>
      </c>
      <c r="I6" s="3">
        <f t="shared" si="2"/>
        <v>37.200000000000003</v>
      </c>
      <c r="J6" s="3">
        <f t="shared" si="3"/>
        <v>29.76</v>
      </c>
      <c r="K6" s="10">
        <f t="shared" si="4"/>
        <v>3.72</v>
      </c>
    </row>
    <row r="7" spans="1:11" x14ac:dyDescent="0.25">
      <c r="A7" s="9" t="s">
        <v>21</v>
      </c>
      <c r="B7" s="3" t="s">
        <v>21</v>
      </c>
      <c r="C7" s="3">
        <v>25</v>
      </c>
      <c r="D7" s="3">
        <v>8</v>
      </c>
      <c r="E7" s="3">
        <v>10</v>
      </c>
      <c r="F7" s="3">
        <v>0</v>
      </c>
      <c r="G7" s="3">
        <f t="shared" si="0"/>
        <v>20</v>
      </c>
      <c r="H7" s="4">
        <f t="shared" si="1"/>
        <v>1.4</v>
      </c>
      <c r="I7" s="3">
        <f t="shared" si="2"/>
        <v>18.600000000000001</v>
      </c>
      <c r="J7" s="3">
        <f t="shared" si="3"/>
        <v>14.88</v>
      </c>
      <c r="K7" s="10">
        <f t="shared" si="4"/>
        <v>1.86</v>
      </c>
    </row>
    <row r="8" spans="1:11" x14ac:dyDescent="0.25">
      <c r="A8" s="9"/>
      <c r="B8" s="3"/>
      <c r="C8" s="3"/>
      <c r="D8" s="3"/>
      <c r="E8" s="3"/>
      <c r="F8" s="3"/>
      <c r="G8" s="3"/>
      <c r="H8" s="4">
        <f t="shared" si="1"/>
        <v>0</v>
      </c>
      <c r="I8" s="3">
        <f t="shared" si="2"/>
        <v>0</v>
      </c>
      <c r="J8" s="3">
        <f t="shared" si="3"/>
        <v>0</v>
      </c>
      <c r="K8" s="10">
        <f t="shared" si="4"/>
        <v>0</v>
      </c>
    </row>
    <row r="9" spans="1:11" x14ac:dyDescent="0.25">
      <c r="A9" s="11"/>
      <c r="B9" s="5"/>
      <c r="C9" s="5"/>
      <c r="D9" s="3"/>
      <c r="E9" s="3"/>
      <c r="F9" s="3"/>
      <c r="G9" s="3"/>
      <c r="H9" s="4"/>
      <c r="I9" s="3"/>
      <c r="J9" s="5"/>
      <c r="K9" s="12"/>
    </row>
    <row r="10" spans="1:11" x14ac:dyDescent="0.25">
      <c r="A10" s="11"/>
      <c r="B10" s="5"/>
      <c r="C10" s="5"/>
      <c r="D10" s="5"/>
      <c r="E10" s="5"/>
      <c r="F10" s="5"/>
      <c r="G10" s="3"/>
      <c r="H10" s="4"/>
      <c r="I10" s="3"/>
      <c r="J10" s="5"/>
      <c r="K10" s="12"/>
    </row>
    <row r="11" spans="1:11" x14ac:dyDescent="0.25">
      <c r="A11" s="11"/>
      <c r="B11" s="5"/>
      <c r="C11" s="5"/>
      <c r="D11" s="5"/>
      <c r="E11" s="5"/>
      <c r="F11" s="5"/>
      <c r="G11" s="3"/>
      <c r="H11" s="4"/>
      <c r="I11" s="3"/>
      <c r="J11" s="5"/>
      <c r="K11" s="12"/>
    </row>
    <row r="12" spans="1:11" x14ac:dyDescent="0.25">
      <c r="A12" s="11"/>
      <c r="B12" s="5"/>
      <c r="C12" s="5"/>
      <c r="D12" s="5"/>
      <c r="E12" s="5"/>
      <c r="F12" s="5"/>
      <c r="G12" s="3"/>
      <c r="H12" s="4"/>
      <c r="I12" s="3"/>
      <c r="J12" s="5"/>
      <c r="K12" s="12"/>
    </row>
    <row r="13" spans="1:11" ht="15.75" thickBot="1" x14ac:dyDescent="0.3">
      <c r="A13" s="13" t="s">
        <v>15</v>
      </c>
      <c r="B13" s="14"/>
      <c r="C13" s="14"/>
      <c r="D13" s="14"/>
      <c r="E13" s="15">
        <f>SUM(E2:E7)</f>
        <v>60</v>
      </c>
      <c r="F13" s="15">
        <f t="shared" ref="F13:K13" si="5">SUM(F2:F7)</f>
        <v>4</v>
      </c>
      <c r="G13" s="15">
        <f t="shared" si="5"/>
        <v>348</v>
      </c>
      <c r="H13" s="15">
        <f t="shared" si="5"/>
        <v>24.36</v>
      </c>
      <c r="I13" s="15">
        <f t="shared" si="5"/>
        <v>323.64000000000004</v>
      </c>
      <c r="J13" s="15">
        <f t="shared" si="5"/>
        <v>258.91199999999998</v>
      </c>
      <c r="K13" s="15">
        <f t="shared" si="5"/>
        <v>32.363999999999997</v>
      </c>
    </row>
  </sheetData>
  <mergeCells count="1">
    <mergeCell ref="A13:D1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Capacity Planning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2020-11-15T10:11:53Z</dcterms:modified>
</cp:coreProperties>
</file>